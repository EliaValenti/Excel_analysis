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liav\Desktop\"/>
    </mc:Choice>
  </mc:AlternateContent>
  <xr:revisionPtr revIDLastSave="0" documentId="13_ncr:1_{FD8A5B69-F174-4DAC-9683-0BFD888E89B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ump_ERP_Q3_Q4" sheetId="1" r:id="rId1"/>
    <sheet name="LISTA_PRODOTTI" sheetId="4" r:id="rId2"/>
    <sheet name="CLEAN_Dump_ERP_Q3_Q4 " sheetId="2" r:id="rId3"/>
    <sheet name="PIVOT_TABLE" sheetId="6" r:id="rId4"/>
    <sheet name="GRAFICI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1" i="2" l="1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L164" i="2" s="1"/>
  <c r="M164" i="2" s="1"/>
  <c r="K163" i="2"/>
  <c r="L163" i="2" s="1"/>
  <c r="M163" i="2" s="1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L126" i="2" l="1"/>
  <c r="M126" i="2" s="1"/>
  <c r="J184" i="2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28" i="2"/>
  <c r="M128" i="2" s="1"/>
  <c r="L127" i="2"/>
  <c r="M127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2" i="2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K184" i="2"/>
  <c r="L184" i="2" s="1"/>
  <c r="M184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M2" i="2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50" i="2"/>
  <c r="M50" i="2"/>
  <c r="L49" i="2"/>
  <c r="M49" i="2"/>
  <c r="L48" i="2"/>
  <c r="M48" i="2"/>
  <c r="L47" i="2"/>
  <c r="M47" i="2"/>
  <c r="L46" i="2"/>
  <c r="M46" i="2"/>
  <c r="L45" i="2"/>
  <c r="M45" i="2"/>
  <c r="L44" i="2"/>
  <c r="M44" i="2"/>
  <c r="L43" i="2"/>
  <c r="M43" i="2"/>
  <c r="L42" i="2"/>
  <c r="M42" i="2"/>
  <c r="L41" i="2"/>
  <c r="M41" i="2"/>
  <c r="L40" i="2"/>
  <c r="M40" i="2"/>
  <c r="L39" i="2"/>
  <c r="M39" i="2"/>
  <c r="L38" i="2"/>
  <c r="M38" i="2"/>
  <c r="L37" i="2"/>
  <c r="M37" i="2"/>
  <c r="L36" i="2"/>
  <c r="M36" i="2"/>
  <c r="L35" i="2"/>
  <c r="M35" i="2"/>
  <c r="L34" i="2"/>
  <c r="M34" i="2"/>
  <c r="L33" i="2"/>
  <c r="M33" i="2"/>
  <c r="L32" i="2"/>
  <c r="M32" i="2"/>
  <c r="L31" i="2"/>
  <c r="M31" i="2"/>
  <c r="L30" i="2"/>
  <c r="M30" i="2"/>
  <c r="L29" i="2"/>
  <c r="M29" i="2" s="1"/>
  <c r="L28" i="2"/>
  <c r="M28" i="2"/>
  <c r="L27" i="2"/>
  <c r="M27" i="2"/>
  <c r="L26" i="2"/>
  <c r="M26" i="2"/>
  <c r="L25" i="2"/>
  <c r="M25" i="2"/>
  <c r="L24" i="2"/>
  <c r="M24" i="2"/>
  <c r="L23" i="2"/>
  <c r="M23" i="2"/>
  <c r="L22" i="2"/>
  <c r="M22" i="2" s="1"/>
  <c r="L21" i="2"/>
  <c r="M21" i="2"/>
  <c r="L20" i="2"/>
  <c r="M20" i="2" s="1"/>
  <c r="L19" i="2"/>
  <c r="M19" i="2"/>
  <c r="L18" i="2"/>
  <c r="M18" i="2" s="1"/>
  <c r="L17" i="2"/>
  <c r="M17" i="2"/>
  <c r="L16" i="2"/>
  <c r="M16" i="2"/>
  <c r="L15" i="2"/>
  <c r="M15" i="2"/>
  <c r="L14" i="2"/>
  <c r="M14" i="2" s="1"/>
  <c r="L13" i="2"/>
  <c r="M13" i="2"/>
  <c r="L12" i="2"/>
  <c r="M12" i="2"/>
  <c r="L11" i="2"/>
  <c r="M11" i="2"/>
  <c r="L10" i="2"/>
  <c r="M10" i="2" s="1"/>
  <c r="L9" i="2"/>
  <c r="M9" i="2" s="1"/>
  <c r="L8" i="2"/>
  <c r="M8" i="2" s="1"/>
  <c r="L7" i="2"/>
  <c r="M7" i="2"/>
  <c r="L6" i="2"/>
  <c r="M6" i="2"/>
  <c r="L5" i="2"/>
  <c r="M5" i="2"/>
  <c r="L4" i="2"/>
  <c r="M4" i="2" s="1"/>
  <c r="L3" i="2"/>
  <c r="M3" i="2" s="1"/>
</calcChain>
</file>

<file path=xl/sharedStrings.xml><?xml version="1.0" encoding="utf-8"?>
<sst xmlns="http://schemas.openxmlformats.org/spreadsheetml/2006/main" count="1914" uniqueCount="377">
  <si>
    <t>ID_TRANSAZIONE</t>
  </si>
  <si>
    <t>DATA_ORDINE</t>
  </si>
  <si>
    <t>CATEGORIA</t>
  </si>
  <si>
    <t>PRODOTTO</t>
  </si>
  <si>
    <t>REGIONE</t>
  </si>
  <si>
    <t>COMMERCIALE</t>
  </si>
  <si>
    <t>QUANTITA</t>
  </si>
  <si>
    <t>PREZZO_UNITARIO</t>
  </si>
  <si>
    <t>COSTO_UNITARIO</t>
  </si>
  <si>
    <t>ORD-2026-1001</t>
  </si>
  <si>
    <t>2026-09-11</t>
  </si>
  <si>
    <t>Software</t>
  </si>
  <si>
    <t>ERP Module Analytics (Lic.)</t>
  </si>
  <si>
    <t>Nord</t>
  </si>
  <si>
    <t>G. Bianchi</t>
  </si>
  <si>
    <t>ORD-2026-1002</t>
  </si>
  <si>
    <t>09/10/2026</t>
  </si>
  <si>
    <t>Arredo</t>
  </si>
  <si>
    <t>Supporto Monitor Doppio</t>
  </si>
  <si>
    <t>Centro</t>
  </si>
  <si>
    <t>ORD-2026-1003</t>
  </si>
  <si>
    <t>2026-07-19</t>
  </si>
  <si>
    <t>Antivirus Enterprise (Lic.)</t>
  </si>
  <si>
    <t>isole</t>
  </si>
  <si>
    <t>L. Esposito</t>
  </si>
  <si>
    <t>ORD-2026-1004</t>
  </si>
  <si>
    <t>2026-06-21</t>
  </si>
  <si>
    <t>ORD-2026-1005</t>
  </si>
  <si>
    <t>08/06/2026</t>
  </si>
  <si>
    <t>Scrivania Ergonomica</t>
  </si>
  <si>
    <t>Isole</t>
  </si>
  <si>
    <t>F. Russo</t>
  </si>
  <si>
    <t>ORD-2026-1006</t>
  </si>
  <si>
    <t>2026-10-24</t>
  </si>
  <si>
    <t>Sedia Operativa Mesh</t>
  </si>
  <si>
    <t>ORD-2026-1007</t>
  </si>
  <si>
    <t>2026-08-21</t>
  </si>
  <si>
    <t>E. Ferrari</t>
  </si>
  <si>
    <t>ORD-2026-1008</t>
  </si>
  <si>
    <t>2026-08-27</t>
  </si>
  <si>
    <t>A. Verdi</t>
  </si>
  <si>
    <t>ORD-2026-1009</t>
  </si>
  <si>
    <t>2026-06-28</t>
  </si>
  <si>
    <t>sud</t>
  </si>
  <si>
    <t>ORD-2026-1010</t>
  </si>
  <si>
    <t>2026-09-09</t>
  </si>
  <si>
    <t>Suite Cloud Business (Lic.)</t>
  </si>
  <si>
    <t>Sud</t>
  </si>
  <si>
    <t>ORD-2026-1011</t>
  </si>
  <si>
    <t>2026-08-02</t>
  </si>
  <si>
    <t>Elettronica</t>
  </si>
  <si>
    <t>Tastiera Meccanica RGB</t>
  </si>
  <si>
    <t>ORD-2026-1012</t>
  </si>
  <si>
    <t>10-08-2026</t>
  </si>
  <si>
    <t>ORD-2026-1013</t>
  </si>
  <si>
    <t>2026-08-14</t>
  </si>
  <si>
    <t>ORD-2026-1014</t>
  </si>
  <si>
    <t>2026-10-15</t>
  </si>
  <si>
    <t>Monitor 27" 4K</t>
  </si>
  <si>
    <t>ORD-2026-1015</t>
  </si>
  <si>
    <t>12-06-2026</t>
  </si>
  <si>
    <t>Lampada LED Scrivania</t>
  </si>
  <si>
    <t>M. Rossi</t>
  </si>
  <si>
    <t>ORD-2026-1016</t>
  </si>
  <si>
    <t>07-10-2026</t>
  </si>
  <si>
    <t>ORD-2026-1017</t>
  </si>
  <si>
    <t>2026-07-08</t>
  </si>
  <si>
    <t>ORD-2026-1018</t>
  </si>
  <si>
    <t>2026-10-25</t>
  </si>
  <si>
    <t>ORD-2026-1019</t>
  </si>
  <si>
    <t>2026-06-11</t>
  </si>
  <si>
    <t>Auricolari Wireless Pro</t>
  </si>
  <si>
    <t>ORD-2026-1020</t>
  </si>
  <si>
    <t>21-09-2026</t>
  </si>
  <si>
    <t>ORD-2026-1021</t>
  </si>
  <si>
    <t>2026-07-24</t>
  </si>
  <si>
    <t>ORD-2026-1022</t>
  </si>
  <si>
    <t>2026-09-18</t>
  </si>
  <si>
    <t>ORD-2026-1023</t>
  </si>
  <si>
    <t>2026-10-06</t>
  </si>
  <si>
    <t>ORD-2026-1024</t>
  </si>
  <si>
    <t>2026-06-08</t>
  </si>
  <si>
    <t>ORD-2026-1025</t>
  </si>
  <si>
    <t>19/07/2026</t>
  </si>
  <si>
    <t>ORD-2026-1026</t>
  </si>
  <si>
    <t>2026-09-07</t>
  </si>
  <si>
    <t>ORD-2026-1027</t>
  </si>
  <si>
    <t>12/09/2026</t>
  </si>
  <si>
    <t>ORD-2026-1028</t>
  </si>
  <si>
    <t>2026-07-13</t>
  </si>
  <si>
    <t>ORD-2026-1029</t>
  </si>
  <si>
    <t>2026-06-20</t>
  </si>
  <si>
    <t>ORD-2026-1030</t>
  </si>
  <si>
    <t>ORD-2026-1031</t>
  </si>
  <si>
    <t>ORD-2026-1032</t>
  </si>
  <si>
    <t>2026-10-02</t>
  </si>
  <si>
    <t>ORD-2026-1033</t>
  </si>
  <si>
    <t>2026-10-18</t>
  </si>
  <si>
    <t>ORD-2026-1034</t>
  </si>
  <si>
    <t>2026-08-08</t>
  </si>
  <si>
    <t>ORD-2026-1035</t>
  </si>
  <si>
    <t>2026-09-02</t>
  </si>
  <si>
    <t>centro</t>
  </si>
  <si>
    <t>ORD-2026-1036</t>
  </si>
  <si>
    <t>2026-06-10</t>
  </si>
  <si>
    <t>ORD-2026-1037</t>
  </si>
  <si>
    <t>2026-08-19</t>
  </si>
  <si>
    <t>ORD-2026-1038</t>
  </si>
  <si>
    <t>Smart Hub X1</t>
  </si>
  <si>
    <t>ORD-2026-1039</t>
  </si>
  <si>
    <t>2026-07-05</t>
  </si>
  <si>
    <t>ORD-2026-1040</t>
  </si>
  <si>
    <t>Webcam Full HD</t>
  </si>
  <si>
    <t>ORD-2026-1041</t>
  </si>
  <si>
    <t>2026-07-06</t>
  </si>
  <si>
    <t>ORD-2026-1042</t>
  </si>
  <si>
    <t>2026-08-23</t>
  </si>
  <si>
    <t>ORD-2026-1043</t>
  </si>
  <si>
    <t>nord</t>
  </si>
  <si>
    <t>ORD-2026-1044</t>
  </si>
  <si>
    <t>2026-10-22</t>
  </si>
  <si>
    <t>ORD-2026-1045</t>
  </si>
  <si>
    <t>ORD-2026-1046</t>
  </si>
  <si>
    <t>30/09/2026</t>
  </si>
  <si>
    <t>ORD-2026-1047</t>
  </si>
  <si>
    <t>2026-10-10</t>
  </si>
  <si>
    <t>ORD-2026-1048</t>
  </si>
  <si>
    <t>04/10/2026</t>
  </si>
  <si>
    <t>ORD-2026-1049</t>
  </si>
  <si>
    <t>2026-09-25</t>
  </si>
  <si>
    <t>ORD-2026-1050</t>
  </si>
  <si>
    <t>24/10/2026</t>
  </si>
  <si>
    <t>ORD-2026-1051</t>
  </si>
  <si>
    <t>2026-09-10</t>
  </si>
  <si>
    <t>ORD-2026-1052</t>
  </si>
  <si>
    <t>23-10-2026</t>
  </si>
  <si>
    <t>ORD-2026-1053</t>
  </si>
  <si>
    <t>2026-07-17</t>
  </si>
  <si>
    <t>ORD-2026-1054</t>
  </si>
  <si>
    <t>ORD-2026-1055</t>
  </si>
  <si>
    <t>2026-07-25</t>
  </si>
  <si>
    <t>ORD-2026-1056</t>
  </si>
  <si>
    <t>2026-08-24</t>
  </si>
  <si>
    <t>ORD-2026-1057</t>
  </si>
  <si>
    <t>2026-07-09</t>
  </si>
  <si>
    <t>ORD-2026-1058</t>
  </si>
  <si>
    <t>2026-07-27</t>
  </si>
  <si>
    <t>ORD-2026-1059</t>
  </si>
  <si>
    <t>ORD-2026-1060</t>
  </si>
  <si>
    <t>2026-07-21</t>
  </si>
  <si>
    <t>ORD-2026-1061</t>
  </si>
  <si>
    <t>2026-10-04</t>
  </si>
  <si>
    <t>ORD-2026-1062</t>
  </si>
  <si>
    <t>2026-09-01</t>
  </si>
  <si>
    <t>ORD-2026-1063</t>
  </si>
  <si>
    <t>2026-10-11</t>
  </si>
  <si>
    <t>ORD-2026-1064</t>
  </si>
  <si>
    <t>2026-07-26</t>
  </si>
  <si>
    <t>ORD-2026-1065</t>
  </si>
  <si>
    <t>ORD-2026-1066</t>
  </si>
  <si>
    <t>2026-09-15</t>
  </si>
  <si>
    <t>ORD-2026-1067</t>
  </si>
  <si>
    <t>17-06-2026</t>
  </si>
  <si>
    <t xml:space="preserve">  Nord </t>
  </si>
  <si>
    <t>ORD-2026-1068</t>
  </si>
  <si>
    <t>2026-09-19</t>
  </si>
  <si>
    <t>ORD-2026-1069</t>
  </si>
  <si>
    <t>2026-08-03</t>
  </si>
  <si>
    <t>ORD-2026-1070</t>
  </si>
  <si>
    <t>14/08/2026</t>
  </si>
  <si>
    <t>ORD-2026-1071</t>
  </si>
  <si>
    <t>ORD-2026-1072</t>
  </si>
  <si>
    <t>2026-08-09</t>
  </si>
  <si>
    <t>ORD-2026-1073</t>
  </si>
  <si>
    <t>2026-09-08</t>
  </si>
  <si>
    <t>ORD-2026-1074</t>
  </si>
  <si>
    <t>04/08/2026</t>
  </si>
  <si>
    <t xml:space="preserve">  Sud </t>
  </si>
  <si>
    <t>ORD-2026-1075</t>
  </si>
  <si>
    <t>2026-08-17</t>
  </si>
  <si>
    <t>ORD-2026-1076</t>
  </si>
  <si>
    <t>2026-06-14</t>
  </si>
  <si>
    <t>ORD-2026-1077</t>
  </si>
  <si>
    <t>ORD-2026-1078</t>
  </si>
  <si>
    <t>2026-07-23</t>
  </si>
  <si>
    <t xml:space="preserve">  Centro </t>
  </si>
  <si>
    <t>ORD-2026-1079</t>
  </si>
  <si>
    <t>2026-07-03</t>
  </si>
  <si>
    <t>ORD-2026-1080</t>
  </si>
  <si>
    <t>2026-08-25</t>
  </si>
  <si>
    <t>ORD-2026-1081</t>
  </si>
  <si>
    <t>14/10/2026</t>
  </si>
  <si>
    <t>ORD-2026-1082</t>
  </si>
  <si>
    <t>2026-08-13</t>
  </si>
  <si>
    <t>ORD-2026-1083</t>
  </si>
  <si>
    <t>ORD-2026-1084</t>
  </si>
  <si>
    <t>2026-07-11</t>
  </si>
  <si>
    <t>ORD-2026-1085</t>
  </si>
  <si>
    <t>2026-09-23</t>
  </si>
  <si>
    <t>ORD-2026-1086</t>
  </si>
  <si>
    <t>ORD-2026-1087</t>
  </si>
  <si>
    <t>ORD-2026-1088</t>
  </si>
  <si>
    <t>2026-09-26</t>
  </si>
  <si>
    <t>ORD-2026-1089</t>
  </si>
  <si>
    <t>01-08-2026</t>
  </si>
  <si>
    <t>ORD-2026-1090</t>
  </si>
  <si>
    <t>2026-09-21</t>
  </si>
  <si>
    <t>ORD-2026-1091</t>
  </si>
  <si>
    <t>ORD-2026-1092</t>
  </si>
  <si>
    <t>2026-08-06</t>
  </si>
  <si>
    <t>ORD-2026-1093</t>
  </si>
  <si>
    <t>20-10-2026</t>
  </si>
  <si>
    <t>ORD-2026-1094</t>
  </si>
  <si>
    <t>2026-10-07</t>
  </si>
  <si>
    <t>ORD-2026-1095</t>
  </si>
  <si>
    <t>23-07-2026</t>
  </si>
  <si>
    <t>ORD-2026-1096</t>
  </si>
  <si>
    <t>ORD-2026-1097</t>
  </si>
  <si>
    <t>06-09-2026</t>
  </si>
  <si>
    <t>ORD-2026-1098</t>
  </si>
  <si>
    <t>2026-09-30</t>
  </si>
  <si>
    <t>ORD-2026-1099</t>
  </si>
  <si>
    <t>23/07/2026</t>
  </si>
  <si>
    <t>ORD-2026-1100</t>
  </si>
  <si>
    <t>23-09-2026</t>
  </si>
  <si>
    <t>ORD-2026-1101</t>
  </si>
  <si>
    <t>ORD-2026-1102</t>
  </si>
  <si>
    <t>12/08/2026</t>
  </si>
  <si>
    <t>ORD-2026-1103</t>
  </si>
  <si>
    <t>ORD-2026-1104</t>
  </si>
  <si>
    <t>ORD-2026-1105</t>
  </si>
  <si>
    <t>2026-07-29</t>
  </si>
  <si>
    <t>ORD-2026-1106</t>
  </si>
  <si>
    <t>ORD-2026-1107</t>
  </si>
  <si>
    <t>11/09/2026</t>
  </si>
  <si>
    <t>ORD-2026-1108</t>
  </si>
  <si>
    <t>ORD-2026-1109</t>
  </si>
  <si>
    <t>ORD-2026-1110</t>
  </si>
  <si>
    <t>2026-08-01</t>
  </si>
  <si>
    <t>ORD-2026-1111</t>
  </si>
  <si>
    <t>ORD-2026-1112</t>
  </si>
  <si>
    <t>27/08/2026</t>
  </si>
  <si>
    <t>ORD-2026-1113</t>
  </si>
  <si>
    <t>22/07/2026</t>
  </si>
  <si>
    <t>ORD-2026-1114</t>
  </si>
  <si>
    <t>2026-09-28</t>
  </si>
  <si>
    <t>ORD-2026-1115</t>
  </si>
  <si>
    <t>13-06-2026</t>
  </si>
  <si>
    <t>ORD-2026-1116</t>
  </si>
  <si>
    <t>15/10/2026</t>
  </si>
  <si>
    <t>ORD-2026-1117</t>
  </si>
  <si>
    <t>2026-08-11</t>
  </si>
  <si>
    <t>ORD-2026-1118</t>
  </si>
  <si>
    <t>ORD-2026-1119</t>
  </si>
  <si>
    <t>2026-08-31</t>
  </si>
  <si>
    <t>ORD-2026-1120</t>
  </si>
  <si>
    <t>2026-07-15</t>
  </si>
  <si>
    <t>ORD-2026-1121</t>
  </si>
  <si>
    <t>09/07/2026</t>
  </si>
  <si>
    <t>ORD-2026-1122</t>
  </si>
  <si>
    <t>ORD-2026-1123</t>
  </si>
  <si>
    <t>2026-08-07</t>
  </si>
  <si>
    <t>ORD-2026-1124</t>
  </si>
  <si>
    <t>2026-06-29</t>
  </si>
  <si>
    <t>ORD-2026-1125</t>
  </si>
  <si>
    <t>28/07/2026</t>
  </si>
  <si>
    <t>ORD-2026-1126</t>
  </si>
  <si>
    <t>14-08-2026</t>
  </si>
  <si>
    <t>ORD-2026-1127</t>
  </si>
  <si>
    <t>ORD-2026-1128</t>
  </si>
  <si>
    <t>ORD-2026-1129</t>
  </si>
  <si>
    <t>2026-07-20</t>
  </si>
  <si>
    <t>ORD-2026-1130</t>
  </si>
  <si>
    <t>2026-06-17</t>
  </si>
  <si>
    <t>ORD-2026-1131</t>
  </si>
  <si>
    <t>ORD-2026-1132</t>
  </si>
  <si>
    <t>ORD-2026-1133</t>
  </si>
  <si>
    <t>16/08/2026</t>
  </si>
  <si>
    <t>ORD-2026-1134</t>
  </si>
  <si>
    <t>2026-07-31</t>
  </si>
  <si>
    <t>ORD-2026-1135</t>
  </si>
  <si>
    <t>05/10/2026</t>
  </si>
  <si>
    <t>ORD-2026-1136</t>
  </si>
  <si>
    <t>2026-08-26</t>
  </si>
  <si>
    <t>ORD-2026-1137</t>
  </si>
  <si>
    <t>21/07/2026</t>
  </si>
  <si>
    <t>ORD-2026-1138</t>
  </si>
  <si>
    <t>2026-09-05</t>
  </si>
  <si>
    <t>ORD-2026-1139</t>
  </si>
  <si>
    <t>ORD-2026-1140</t>
  </si>
  <si>
    <t>03-10-2026</t>
  </si>
  <si>
    <t>ORD-2026-1141</t>
  </si>
  <si>
    <t>ORD-2026-1142</t>
  </si>
  <si>
    <t>2026-08-28</t>
  </si>
  <si>
    <t>ORD-2026-1143</t>
  </si>
  <si>
    <t>2026-10-17</t>
  </si>
  <si>
    <t>ORD-2026-1144</t>
  </si>
  <si>
    <t>01-06-2026</t>
  </si>
  <si>
    <t>ORD-2026-1145</t>
  </si>
  <si>
    <t>ORD-2026-1146</t>
  </si>
  <si>
    <t>ORD-2026-1147</t>
  </si>
  <si>
    <t>ORD-2026-1148</t>
  </si>
  <si>
    <t>27/09/2026</t>
  </si>
  <si>
    <t>ORD-2026-1149</t>
  </si>
  <si>
    <t>22-09-2026</t>
  </si>
  <si>
    <t>ORD-2026-1150</t>
  </si>
  <si>
    <t>2026-10-20</t>
  </si>
  <si>
    <t xml:space="preserve">  Isole </t>
  </si>
  <si>
    <t>ORD-2026-1151</t>
  </si>
  <si>
    <t>16-08-2026</t>
  </si>
  <si>
    <t>ORD-2026-1152</t>
  </si>
  <si>
    <t>2026-08-22</t>
  </si>
  <si>
    <t>ORD-2026-1153</t>
  </si>
  <si>
    <t>05-07-2026</t>
  </si>
  <si>
    <t>ORD-2026-1154</t>
  </si>
  <si>
    <t>2026-07-18</t>
  </si>
  <si>
    <t>ORD-2026-1155</t>
  </si>
  <si>
    <t>ORD-2026-1156</t>
  </si>
  <si>
    <t>2026-06-25</t>
  </si>
  <si>
    <t>ORD-2026-1157</t>
  </si>
  <si>
    <t>2026-06-27</t>
  </si>
  <si>
    <t>ORD-2026-1158</t>
  </si>
  <si>
    <t>16/09/2026</t>
  </si>
  <si>
    <t>ORD-2026-1159</t>
  </si>
  <si>
    <t>14/09/2026</t>
  </si>
  <si>
    <t>ORD-2026-1160</t>
  </si>
  <si>
    <t>19-07-2026</t>
  </si>
  <si>
    <t>ORD-2026-1161</t>
  </si>
  <si>
    <t>08/08/2026</t>
  </si>
  <si>
    <t>ORD-2026-1162</t>
  </si>
  <si>
    <t>16-10-2026</t>
  </si>
  <si>
    <t>ORD-2026-1163</t>
  </si>
  <si>
    <t>24/06/2026</t>
  </si>
  <si>
    <t>ORD-2026-1164</t>
  </si>
  <si>
    <t>2026-10-01</t>
  </si>
  <si>
    <t>ORD-2026-1165</t>
  </si>
  <si>
    <t>ORD-2026-1166</t>
  </si>
  <si>
    <t>2026-06-30</t>
  </si>
  <si>
    <t>ORD-2026-1167</t>
  </si>
  <si>
    <t>ORD-2026-1168</t>
  </si>
  <si>
    <t>16-09-2026</t>
  </si>
  <si>
    <t>ORD-2026-1169</t>
  </si>
  <si>
    <t>20/10/2026</t>
  </si>
  <si>
    <t>ORD-2026-1170</t>
  </si>
  <si>
    <t>25/07/2026</t>
  </si>
  <si>
    <t>ORD-2026-1171</t>
  </si>
  <si>
    <t>ORD-2026-1172</t>
  </si>
  <si>
    <t>ORD-2026-1173</t>
  </si>
  <si>
    <t>2026-10-03</t>
  </si>
  <si>
    <t>ORD-2026-1174</t>
  </si>
  <si>
    <t>2026-06-12</t>
  </si>
  <si>
    <t>ORD-2026-1175</t>
  </si>
  <si>
    <t>01/07/2026</t>
  </si>
  <si>
    <t>ORD-2026-1176</t>
  </si>
  <si>
    <t>22/08/2026</t>
  </si>
  <si>
    <t>ORD-2026-1177</t>
  </si>
  <si>
    <t>ORD-2026-1178</t>
  </si>
  <si>
    <t>ORD-2026-1179</t>
  </si>
  <si>
    <t>2026-10-16</t>
  </si>
  <si>
    <t>ORD-2026-1180</t>
  </si>
  <si>
    <t>Non Disponibile</t>
  </si>
  <si>
    <t>TOT_REVENUE</t>
  </si>
  <si>
    <t>TOT_COST</t>
  </si>
  <si>
    <t>PROFIT MARGIN (eur)</t>
  </si>
  <si>
    <t>PROFIT MARGIN (%)</t>
  </si>
  <si>
    <t>Sum of TOT_REVENUE</t>
  </si>
  <si>
    <t>Sum of TOT_COST</t>
  </si>
  <si>
    <t>Sum of PROFIT MARGIN (eur)</t>
  </si>
  <si>
    <t>Row Labels</t>
  </si>
  <si>
    <t>Grand Total</t>
  </si>
  <si>
    <t>Sum of PROFIT MARGIN (%)</t>
  </si>
  <si>
    <t>UTILE TOTALE</t>
  </si>
  <si>
    <t>MARGINE PROFITTO TOTALE</t>
  </si>
  <si>
    <t>RICAVI COMPLESSIVI</t>
  </si>
  <si>
    <t>COSTI COMPLESSIVI</t>
  </si>
  <si>
    <t>Average of PROFIT MARGIN (%)</t>
  </si>
  <si>
    <t>PRODOTTI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</si>
</sst>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\ &quot;€&quot;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4" fillId="4" borderId="4" xfId="0" applyFont="1" applyFill="1" applyBorder="1"/>
    <xf numFmtId="0" fontId="3" fillId="2" borderId="1" xfId="0" applyFont="1" applyFill="1" applyBorder="1"/>
    <xf numFmtId="0" fontId="3" fillId="3" borderId="6" xfId="0" applyFont="1" applyFill="1" applyBorder="1"/>
    <xf numFmtId="49" fontId="3" fillId="3" borderId="6" xfId="0" applyNumberFormat="1" applyFont="1" applyFill="1" applyBorder="1"/>
    <xf numFmtId="49" fontId="3" fillId="2" borderId="1" xfId="0" applyNumberFormat="1" applyFont="1" applyFill="1" applyBorder="1"/>
    <xf numFmtId="0" fontId="3" fillId="3" borderId="1" xfId="0" applyFont="1" applyFill="1" applyBorder="1"/>
    <xf numFmtId="49" fontId="3" fillId="3" borderId="1" xfId="0" applyNumberFormat="1" applyFont="1" applyFill="1" applyBorder="1"/>
    <xf numFmtId="0" fontId="5" fillId="0" borderId="5" xfId="0" applyFont="1" applyBorder="1"/>
    <xf numFmtId="14" fontId="5" fillId="0" borderId="6" xfId="0" applyNumberFormat="1" applyFont="1" applyBorder="1"/>
    <xf numFmtId="0" fontId="5" fillId="0" borderId="1" xfId="0" applyFont="1" applyBorder="1"/>
    <xf numFmtId="49" fontId="5" fillId="0" borderId="6" xfId="0" applyNumberFormat="1" applyFont="1" applyBorder="1"/>
    <xf numFmtId="1" fontId="5" fillId="0" borderId="6" xfId="0" applyNumberFormat="1" applyFont="1" applyBorder="1"/>
    <xf numFmtId="164" fontId="5" fillId="0" borderId="6" xfId="0" applyNumberFormat="1" applyFont="1" applyBorder="1"/>
    <xf numFmtId="165" fontId="5" fillId="0" borderId="6" xfId="0" applyNumberFormat="1" applyFont="1" applyBorder="1"/>
    <xf numFmtId="165" fontId="5" fillId="0" borderId="0" xfId="0" applyNumberFormat="1" applyFont="1"/>
    <xf numFmtId="166" fontId="5" fillId="0" borderId="0" xfId="1" applyNumberFormat="1" applyFont="1" applyFill="1" applyBorder="1"/>
    <xf numFmtId="0" fontId="5" fillId="0" borderId="7" xfId="0" applyFont="1" applyBorder="1"/>
    <xf numFmtId="14" fontId="5" fillId="0" borderId="1" xfId="0" applyNumberFormat="1" applyFont="1" applyBorder="1"/>
    <xf numFmtId="49" fontId="5" fillId="0" borderId="1" xfId="0" applyNumberFormat="1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5" fillId="0" borderId="8" xfId="0" applyFont="1" applyBorder="1"/>
    <xf numFmtId="14" fontId="5" fillId="0" borderId="3" xfId="0" applyNumberFormat="1" applyFont="1" applyBorder="1"/>
    <xf numFmtId="49" fontId="5" fillId="0" borderId="3" xfId="0" applyNumberFormat="1" applyFont="1" applyBorder="1"/>
    <xf numFmtId="1" fontId="5" fillId="0" borderId="3" xfId="0" applyNumberFormat="1" applyFont="1" applyBorder="1"/>
    <xf numFmtId="164" fontId="5" fillId="0" borderId="3" xfId="0" applyNumberFormat="1" applyFont="1" applyBorder="1"/>
    <xf numFmtId="165" fontId="5" fillId="0" borderId="3" xfId="0" applyNumberFormat="1" applyFont="1" applyBorder="1"/>
    <xf numFmtId="0" fontId="5" fillId="6" borderId="2" xfId="0" applyFont="1" applyFill="1" applyBorder="1"/>
    <xf numFmtId="14" fontId="5" fillId="6" borderId="4" xfId="0" applyNumberFormat="1" applyFont="1" applyFill="1" applyBorder="1"/>
    <xf numFmtId="0" fontId="5" fillId="6" borderId="4" xfId="0" applyFont="1" applyFill="1" applyBorder="1"/>
    <xf numFmtId="0" fontId="5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165" fontId="0" fillId="0" borderId="9" xfId="0" applyNumberFormat="1" applyBorder="1"/>
    <xf numFmtId="165" fontId="0" fillId="0" borderId="10" xfId="0" applyNumberFormat="1" applyBorder="1"/>
    <xf numFmtId="9" fontId="0" fillId="0" borderId="11" xfId="1" applyFont="1" applyBorder="1"/>
    <xf numFmtId="0" fontId="2" fillId="5" borderId="12" xfId="0" applyFont="1" applyFill="1" applyBorder="1"/>
    <xf numFmtId="0" fontId="2" fillId="5" borderId="13" xfId="0" applyFont="1" applyFill="1" applyBorder="1"/>
    <xf numFmtId="0" fontId="2" fillId="5" borderId="14" xfId="0" applyFont="1" applyFill="1" applyBorder="1"/>
  </cellXfs>
  <cellStyles count="2">
    <cellStyle name="Normal" xfId="0" builtinId="0"/>
    <cellStyle name="Per 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\ &quot;€&quot;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582031"/>
        <c:axId val="2036910127"/>
      </c:barChart>
      <c:catAx>
        <c:axId val="122458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6910127"/>
        <c:crosses val="autoZero"/>
        <c:auto val="1"/>
        <c:lblAlgn val="ctr"/>
        <c:lblOffset val="100"/>
        <c:noMultiLvlLbl val="0"/>
      </c:catAx>
      <c:valAx>
        <c:axId val="20369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458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[Dump_ERP_Vendite.xlsx]GRAFICI!PivotTable13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GRAFICI!$C$2</c:f>
              <c:strCache>
                <c:ptCount val="1"/>
                <c:pt idx="0">
                  <c:v>Sum of PROFIT MARGIN (eur)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GRAFICI!$B$3:$B$15</c:f>
              <c:strCache>
                <c:ptCount val="12"/>
                <c:pt idx="0">
                  <c:v>Lampada LED Scrivania</c:v>
                </c:pt>
                <c:pt idx="1">
                  <c:v>Auricolari Wireless Pro</c:v>
                </c:pt>
                <c:pt idx="2">
                  <c:v>Webcam Full HD</c:v>
                </c:pt>
                <c:pt idx="3">
                  <c:v>Smart Hub X1</c:v>
                </c:pt>
                <c:pt idx="4">
                  <c:v>Scrivania Ergonomica</c:v>
                </c:pt>
                <c:pt idx="5">
                  <c:v>Antivirus Enterprise (Lic.)</c:v>
                </c:pt>
                <c:pt idx="6">
                  <c:v>Supporto Monitor Doppio</c:v>
                </c:pt>
                <c:pt idx="7">
                  <c:v>Monitor 27" 4K</c:v>
                </c:pt>
                <c:pt idx="8">
                  <c:v>Tastiera Meccanica RGB</c:v>
                </c:pt>
                <c:pt idx="9">
                  <c:v>Sedia Operativa Mesh</c:v>
                </c:pt>
                <c:pt idx="10">
                  <c:v>Suite Cloud Business (Lic.)</c:v>
                </c:pt>
                <c:pt idx="11">
                  <c:v>ERP Module Analytics (Lic.)</c:v>
                </c:pt>
              </c:strCache>
            </c:strRef>
          </c:cat>
          <c:val>
            <c:numRef>
              <c:f>GRAFICI!$C$3:$C$15</c:f>
              <c:numCache>
                <c:formatCode>#,##0\ "€"</c:formatCode>
                <c:ptCount val="12"/>
                <c:pt idx="0">
                  <c:v>8532.5</c:v>
                </c:pt>
                <c:pt idx="1">
                  <c:v>9542.75</c:v>
                </c:pt>
                <c:pt idx="2">
                  <c:v>9867.25</c:v>
                </c:pt>
                <c:pt idx="3">
                  <c:v>10656</c:v>
                </c:pt>
                <c:pt idx="4">
                  <c:v>12465</c:v>
                </c:pt>
                <c:pt idx="5">
                  <c:v>13464</c:v>
                </c:pt>
                <c:pt idx="6">
                  <c:v>14914.5</c:v>
                </c:pt>
                <c:pt idx="7">
                  <c:v>15812</c:v>
                </c:pt>
                <c:pt idx="8">
                  <c:v>17732.75</c:v>
                </c:pt>
                <c:pt idx="9">
                  <c:v>25380</c:v>
                </c:pt>
                <c:pt idx="10">
                  <c:v>197020</c:v>
                </c:pt>
                <c:pt idx="11">
                  <c:v>208077.5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3-4C45-9C46-C4F90315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1096063"/>
        <c:axId val="2036898127"/>
      </c:barChart>
      <c:lineChart>
        <c:grouping val="standard"/>
        <c:varyColors val="0"/>
        <c:ser>
          <c:idx val="1"/>
          <c:order val="1"/>
          <c:tx>
            <c:strRef>
              <c:f>GRAFICI!$D$2</c:f>
              <c:strCache>
                <c:ptCount val="1"/>
                <c:pt idx="0">
                  <c:v>Average of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GRAFICI!$B$3:$B$15</c:f>
              <c:strCache>
                <c:ptCount val="12"/>
                <c:pt idx="0">
                  <c:v>Lampada LED Scrivania</c:v>
                </c:pt>
                <c:pt idx="1">
                  <c:v>Auricolari Wireless Pro</c:v>
                </c:pt>
                <c:pt idx="2">
                  <c:v>Webcam Full HD</c:v>
                </c:pt>
                <c:pt idx="3">
                  <c:v>Smart Hub X1</c:v>
                </c:pt>
                <c:pt idx="4">
                  <c:v>Scrivania Ergonomica</c:v>
                </c:pt>
                <c:pt idx="5">
                  <c:v>Antivirus Enterprise (Lic.)</c:v>
                </c:pt>
                <c:pt idx="6">
                  <c:v>Supporto Monitor Doppio</c:v>
                </c:pt>
                <c:pt idx="7">
                  <c:v>Monitor 27" 4K</c:v>
                </c:pt>
                <c:pt idx="8">
                  <c:v>Tastiera Meccanica RGB</c:v>
                </c:pt>
                <c:pt idx="9">
                  <c:v>Sedia Operativa Mesh</c:v>
                </c:pt>
                <c:pt idx="10">
                  <c:v>Suite Cloud Business (Lic.)</c:v>
                </c:pt>
                <c:pt idx="11">
                  <c:v>ERP Module Analytics (Lic.)</c:v>
                </c:pt>
              </c:strCache>
            </c:strRef>
          </c:cat>
          <c:val>
            <c:numRef>
              <c:f>GRAFICI!$D$3:$D$15</c:f>
              <c:numCache>
                <c:formatCode>0.0%</c:formatCode>
                <c:ptCount val="12"/>
                <c:pt idx="0">
                  <c:v>0.73227349060549585</c:v>
                </c:pt>
                <c:pt idx="1">
                  <c:v>0.52174942280311876</c:v>
                </c:pt>
                <c:pt idx="2">
                  <c:v>0.76389545748476773</c:v>
                </c:pt>
                <c:pt idx="3">
                  <c:v>0.34150871310749592</c:v>
                </c:pt>
                <c:pt idx="4">
                  <c:v>0.25654200203387612</c:v>
                </c:pt>
                <c:pt idx="5">
                  <c:v>1.8201288555729176</c:v>
                </c:pt>
                <c:pt idx="6">
                  <c:v>0.73998115253326935</c:v>
                </c:pt>
                <c:pt idx="7">
                  <c:v>0.30826924652560461</c:v>
                </c:pt>
                <c:pt idx="8">
                  <c:v>0.79904282233484614</c:v>
                </c:pt>
                <c:pt idx="9">
                  <c:v>0.36121113886369766</c:v>
                </c:pt>
                <c:pt idx="10">
                  <c:v>1.8416295186005189</c:v>
                </c:pt>
                <c:pt idx="11">
                  <c:v>2.0472051762303316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3-4C45-9C46-C4F90315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569967"/>
        <c:axId val="1983328783"/>
      </c:lineChart>
      <c:catAx>
        <c:axId val="146109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6898127"/>
        <c:crosses val="autoZero"/>
        <c:auto val="1"/>
        <c:lblAlgn val="ctr"/>
        <c:lblOffset val="100"/>
        <c:noMultiLvlLbl val="0"/>
      </c:catAx>
      <c:valAx>
        <c:axId val="203689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1096063"/>
        <c:crosses val="autoZero"/>
        <c:crossBetween val="between"/>
      </c:valAx>
      <c:valAx>
        <c:axId val="198332878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4569967"/>
        <c:crosses val="max"/>
        <c:crossBetween val="between"/>
      </c:valAx>
      <c:catAx>
        <c:axId val="1224569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3328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121920</xdr:colOff>
      <xdr:row>151</xdr:row>
      <xdr:rowOff>116840</xdr:rowOff>
    </xdr:from>
    <xdr:to>
      <xdr:col>24</xdr:col>
      <xdr:colOff>426720</xdr:colOff>
      <xdr:row>166</xdr:row>
      <xdr:rowOff>116840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08811-F977-5CC0-9FA3-34562898A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171450</xdr:rowOff>
    </xdr:from>
    <xdr:to>
      <xdr:col>18</xdr:col>
      <xdr:colOff>0</xdr:colOff>
      <xdr:row>21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1A801-74CC-5E94-A269-FA154BD90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 Valenti" refreshedDate="46322.625072222225" createdVersion="8" refreshedVersion="8" minRefreshableVersion="3" recordCount="180" xr:uid="{DF7AD787-3C24-4D55-8E17-1BC554F96549}">
  <cacheSource type="worksheet">
    <worksheetSource name="Table1"/>
  </cacheSource>
  <cacheFields count="14">
    <cacheField name="ID_TRANSAZIONE" numFmtId="0">
      <sharedItems/>
    </cacheField>
    <cacheField name="DATA_ORDINE" numFmtId="14">
      <sharedItems containsSemiMixedTypes="0" containsNonDate="0" containsDate="1" containsString="0" minDate="2026-06-01T00:00:00" maxDate="2026-10-26T00:00:00"/>
    </cacheField>
    <cacheField name="CATEGORIA" numFmtId="0">
      <sharedItems count="3">
        <s v="Software"/>
        <s v="Arredo"/>
        <s v="Elettronica"/>
      </sharedItems>
    </cacheField>
    <cacheField name="PRODOTTO" numFmtId="49">
      <sharedItems count="12">
        <s v="ERP Module Analytics (Lic.)"/>
        <s v="Supporto Monitor Doppio"/>
        <s v="Antivirus Enterprise (Lic.)"/>
        <s v="Scrivania Ergonomica"/>
        <s v="Sedia Operativa Mesh"/>
        <s v="Suite Cloud Business (Lic.)"/>
        <s v="Tastiera Meccanica RGB"/>
        <s v="Monitor 27&quot; 4K"/>
        <s v="Lampada LED Scrivania"/>
        <s v="Auricolari Wireless Pro"/>
        <s v="Smart Hub X1"/>
        <s v="Webcam Full HD"/>
      </sharedItems>
    </cacheField>
    <cacheField name="REGIONE" numFmtId="0">
      <sharedItems count="8">
        <s v="Nord"/>
        <s v="Centro"/>
        <s v="isole"/>
        <s v="sud"/>
        <s v="  Nord "/>
        <s v="  Sud "/>
        <s v="  Centro "/>
        <s v="  Isole "/>
      </sharedItems>
    </cacheField>
    <cacheField name="CLEAN REGIONE" numFmtId="49">
      <sharedItems count="4">
        <s v="Nord"/>
        <s v="Centro"/>
        <s v="Isole"/>
        <s v="Sud"/>
      </sharedItems>
    </cacheField>
    <cacheField name="COMMERCIALE" numFmtId="49">
      <sharedItems/>
    </cacheField>
    <cacheField name="QUANTITA" numFmtId="1">
      <sharedItems containsSemiMixedTypes="0" containsString="0" containsNumber="1" containsInteger="1" minValue="0" maxValue="44"/>
    </cacheField>
    <cacheField name="PREZZO_UNITARIO" numFmtId="164">
      <sharedItems containsSemiMixedTypes="0" containsString="0" containsNumber="1" minValue="38.25" maxValue="850"/>
    </cacheField>
    <cacheField name="COSTO_UNITARIO" numFmtId="165">
      <sharedItems containsSemiMixedTypes="0" containsString="0" containsNumber="1" containsInteger="1" minValue="15" maxValue="210"/>
    </cacheField>
    <cacheField name="TOT_REVENUE" numFmtId="165">
      <sharedItems containsSemiMixedTypes="0" containsString="0" containsNumber="1" minValue="0" maxValue="34850"/>
    </cacheField>
    <cacheField name="TOT_COST" numFmtId="165">
      <sharedItems containsSemiMixedTypes="0" containsString="0" containsNumber="1" containsInteger="1" minValue="0" maxValue="8200"/>
    </cacheField>
    <cacheField name="PROFIT MARGIN (eur)" numFmtId="165">
      <sharedItems containsSemiMixedTypes="0" containsString="0" containsNumber="1" minValue="0" maxValue="26650"/>
    </cacheField>
    <cacheField name="PROFIT MARGIN (%)" numFmtId="166">
      <sharedItems containsSemiMixedTypes="0" containsString="0" containsNumber="1" minValue="0" maxValue="3.2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ORD-2026-1001"/>
    <d v="2026-09-11T00:00:00"/>
    <x v="0"/>
    <x v="0"/>
    <x v="0"/>
    <x v="0"/>
    <s v="G. Bianchi"/>
    <n v="19"/>
    <n v="850"/>
    <n v="200"/>
    <n v="16150"/>
    <n v="3800"/>
    <n v="12350"/>
    <n v="3.25"/>
  </r>
  <r>
    <s v="ORD-2026-1002"/>
    <d v="2026-10-09T00:00:00"/>
    <x v="1"/>
    <x v="1"/>
    <x v="1"/>
    <x v="1"/>
    <s v="G. Bianchi"/>
    <n v="21"/>
    <n v="70"/>
    <n v="32"/>
    <n v="1470"/>
    <n v="672"/>
    <n v="798"/>
    <n v="1.1875"/>
  </r>
  <r>
    <s v="ORD-2026-1003"/>
    <d v="2026-07-19T00:00:00"/>
    <x v="0"/>
    <x v="2"/>
    <x v="2"/>
    <x v="2"/>
    <s v="L. Esposito"/>
    <n v="44"/>
    <n v="54"/>
    <n v="15"/>
    <n v="2376"/>
    <n v="660"/>
    <n v="1716"/>
    <n v="2.6"/>
  </r>
  <r>
    <s v="ORD-2026-1004"/>
    <d v="2026-06-21T00:00:00"/>
    <x v="1"/>
    <x v="1"/>
    <x v="1"/>
    <x v="1"/>
    <s v="G. Bianchi"/>
    <n v="9"/>
    <n v="70"/>
    <n v="32"/>
    <n v="630"/>
    <n v="288"/>
    <n v="342"/>
    <n v="1.1875"/>
  </r>
  <r>
    <s v="ORD-2026-1005"/>
    <d v="2026-06-08T00:00:00"/>
    <x v="1"/>
    <x v="3"/>
    <x v="2"/>
    <x v="2"/>
    <s v="F. Russo"/>
    <n v="2"/>
    <n v="237.5"/>
    <n v="160"/>
    <n v="475"/>
    <n v="320"/>
    <n v="155"/>
    <n v="0.484375"/>
  </r>
  <r>
    <s v="ORD-2026-1006"/>
    <d v="2026-10-24T00:00:00"/>
    <x v="1"/>
    <x v="4"/>
    <x v="1"/>
    <x v="1"/>
    <s v="Non Disponibile"/>
    <n v="23"/>
    <n v="162"/>
    <n v="110"/>
    <n v="3726"/>
    <n v="2530"/>
    <n v="1196"/>
    <n v="0.47272727272727272"/>
  </r>
  <r>
    <s v="ORD-2026-1007"/>
    <d v="2026-08-21T00:00:00"/>
    <x v="1"/>
    <x v="3"/>
    <x v="2"/>
    <x v="2"/>
    <s v="E. Ferrari"/>
    <n v="41"/>
    <n v="212.5"/>
    <n v="160"/>
    <n v="8712.5"/>
    <n v="6560"/>
    <n v="2152.5"/>
    <n v="0.328125"/>
  </r>
  <r>
    <s v="ORD-2026-1008"/>
    <d v="2026-08-27T00:00:00"/>
    <x v="0"/>
    <x v="0"/>
    <x v="2"/>
    <x v="2"/>
    <s v="A. Verdi"/>
    <n v="35"/>
    <n v="850"/>
    <n v="200"/>
    <n v="29750"/>
    <n v="7000"/>
    <n v="22750"/>
    <n v="3.25"/>
  </r>
  <r>
    <s v="ORD-2026-1009"/>
    <d v="2026-06-28T00:00:00"/>
    <x v="1"/>
    <x v="3"/>
    <x v="3"/>
    <x v="3"/>
    <s v="L. Esposito"/>
    <n v="24"/>
    <n v="212.5"/>
    <n v="160"/>
    <n v="5100"/>
    <n v="3840"/>
    <n v="1260"/>
    <n v="0.328125"/>
  </r>
  <r>
    <s v="ORD-2026-1010"/>
    <d v="2026-09-09T00:00:00"/>
    <x v="0"/>
    <x v="5"/>
    <x v="3"/>
    <x v="3"/>
    <s v="L. Esposito"/>
    <n v="0"/>
    <n v="500"/>
    <n v="120"/>
    <n v="0"/>
    <n v="0"/>
    <n v="0"/>
    <n v="0"/>
  </r>
  <r>
    <s v="ORD-2026-1011"/>
    <d v="2026-08-02T00:00:00"/>
    <x v="2"/>
    <x v="6"/>
    <x v="2"/>
    <x v="2"/>
    <s v="L. Esposito"/>
    <n v="37"/>
    <n v="80.75"/>
    <n v="40"/>
    <n v="2987.75"/>
    <n v="1480"/>
    <n v="1507.75"/>
    <n v="1.01875"/>
  </r>
  <r>
    <s v="ORD-2026-1012"/>
    <d v="2026-08-10T00:00:00"/>
    <x v="1"/>
    <x v="1"/>
    <x v="0"/>
    <x v="0"/>
    <s v="L. Esposito"/>
    <n v="6"/>
    <n v="63"/>
    <n v="32"/>
    <n v="378"/>
    <n v="192"/>
    <n v="186"/>
    <n v="0.96875"/>
  </r>
  <r>
    <s v="ORD-2026-1013"/>
    <d v="2026-08-14T00:00:00"/>
    <x v="0"/>
    <x v="5"/>
    <x v="0"/>
    <x v="0"/>
    <s v="Non Disponibile"/>
    <n v="27"/>
    <n v="475"/>
    <n v="120"/>
    <n v="12825"/>
    <n v="3240"/>
    <n v="9585"/>
    <n v="2.9583333333333335"/>
  </r>
  <r>
    <s v="ORD-2026-1014"/>
    <d v="2026-10-15T00:00:00"/>
    <x v="2"/>
    <x v="7"/>
    <x v="2"/>
    <x v="2"/>
    <s v="A. Verdi"/>
    <n v="32"/>
    <n v="320"/>
    <n v="210"/>
    <n v="10240"/>
    <n v="6720"/>
    <n v="3520"/>
    <n v="0.52380952380952384"/>
  </r>
  <r>
    <s v="ORD-2026-1015"/>
    <d v="2026-06-12T00:00:00"/>
    <x v="1"/>
    <x v="8"/>
    <x v="0"/>
    <x v="0"/>
    <s v="M. Rossi"/>
    <n v="2"/>
    <n v="45"/>
    <n v="20"/>
    <n v="90"/>
    <n v="40"/>
    <n v="50"/>
    <n v="1.25"/>
  </r>
  <r>
    <s v="ORD-2026-1016"/>
    <d v="2026-10-07T00:00:00"/>
    <x v="1"/>
    <x v="3"/>
    <x v="2"/>
    <x v="2"/>
    <s v="L. Esposito"/>
    <n v="32"/>
    <n v="225"/>
    <n v="160"/>
    <n v="7200"/>
    <n v="5120"/>
    <n v="2080"/>
    <n v="0.40625"/>
  </r>
  <r>
    <s v="ORD-2026-1017"/>
    <d v="2026-07-08T00:00:00"/>
    <x v="1"/>
    <x v="4"/>
    <x v="3"/>
    <x v="3"/>
    <s v="M. Rossi"/>
    <n v="9"/>
    <n v="162"/>
    <n v="110"/>
    <n v="1458"/>
    <n v="990"/>
    <n v="468"/>
    <n v="0.47272727272727272"/>
  </r>
  <r>
    <s v="ORD-2026-1018"/>
    <d v="2026-10-25T00:00:00"/>
    <x v="0"/>
    <x v="0"/>
    <x v="3"/>
    <x v="3"/>
    <s v="F. Russo"/>
    <n v="41"/>
    <n v="850"/>
    <n v="200"/>
    <n v="34850"/>
    <n v="8200"/>
    <n v="26650"/>
    <n v="3.25"/>
  </r>
  <r>
    <s v="ORD-2026-1019"/>
    <d v="2026-06-11T00:00:00"/>
    <x v="2"/>
    <x v="9"/>
    <x v="1"/>
    <x v="1"/>
    <s v="G. Bianchi"/>
    <n v="35"/>
    <n v="76.5"/>
    <n v="45"/>
    <n v="2677.5"/>
    <n v="1575"/>
    <n v="1102.5"/>
    <n v="0.7"/>
  </r>
  <r>
    <s v="ORD-2026-1020"/>
    <d v="2026-09-21T00:00:00"/>
    <x v="1"/>
    <x v="1"/>
    <x v="2"/>
    <x v="2"/>
    <s v="A. Verdi"/>
    <n v="9"/>
    <n v="70"/>
    <n v="32"/>
    <n v="630"/>
    <n v="288"/>
    <n v="342"/>
    <n v="1.1875"/>
  </r>
  <r>
    <s v="ORD-2026-1021"/>
    <d v="2026-07-24T00:00:00"/>
    <x v="0"/>
    <x v="5"/>
    <x v="1"/>
    <x v="1"/>
    <s v="F. Russo"/>
    <n v="35"/>
    <n v="475"/>
    <n v="120"/>
    <n v="16625"/>
    <n v="4200"/>
    <n v="12425"/>
    <n v="2.9583333333333335"/>
  </r>
  <r>
    <s v="ORD-2026-1022"/>
    <d v="2026-09-18T00:00:00"/>
    <x v="1"/>
    <x v="8"/>
    <x v="0"/>
    <x v="0"/>
    <s v="F. Russo"/>
    <n v="33"/>
    <n v="40.5"/>
    <n v="20"/>
    <n v="1336.5"/>
    <n v="660"/>
    <n v="676.5"/>
    <n v="1.0249999999999999"/>
  </r>
  <r>
    <s v="ORD-2026-1023"/>
    <d v="2026-10-06T00:00:00"/>
    <x v="0"/>
    <x v="5"/>
    <x v="2"/>
    <x v="2"/>
    <s v="F. Russo"/>
    <n v="22"/>
    <n v="475"/>
    <n v="120"/>
    <n v="10450"/>
    <n v="2640"/>
    <n v="7810"/>
    <n v="2.9583333333333335"/>
  </r>
  <r>
    <s v="ORD-2026-1024"/>
    <d v="2026-06-08T00:00:00"/>
    <x v="1"/>
    <x v="3"/>
    <x v="2"/>
    <x v="2"/>
    <s v="M. Rossi"/>
    <n v="0"/>
    <n v="225"/>
    <n v="160"/>
    <n v="0"/>
    <n v="0"/>
    <n v="0"/>
    <n v="0"/>
  </r>
  <r>
    <s v="ORD-2026-1025"/>
    <d v="2026-07-19T00:00:00"/>
    <x v="1"/>
    <x v="3"/>
    <x v="1"/>
    <x v="1"/>
    <s v="A. Verdi"/>
    <n v="41"/>
    <n v="212.5"/>
    <n v="160"/>
    <n v="8712.5"/>
    <n v="6560"/>
    <n v="2152.5"/>
    <n v="0.328125"/>
  </r>
  <r>
    <s v="ORD-2026-1026"/>
    <d v="2026-09-07T00:00:00"/>
    <x v="0"/>
    <x v="5"/>
    <x v="3"/>
    <x v="3"/>
    <s v="M. Rossi"/>
    <n v="3"/>
    <n v="500"/>
    <n v="120"/>
    <n v="1500"/>
    <n v="360"/>
    <n v="1140"/>
    <n v="3.1666666666666665"/>
  </r>
  <r>
    <s v="ORD-2026-1027"/>
    <d v="2026-09-12T00:00:00"/>
    <x v="1"/>
    <x v="1"/>
    <x v="3"/>
    <x v="3"/>
    <s v="G. Bianchi"/>
    <n v="27"/>
    <n v="70"/>
    <n v="32"/>
    <n v="1890"/>
    <n v="864"/>
    <n v="1026"/>
    <n v="1.1875"/>
  </r>
  <r>
    <s v="ORD-2026-1028"/>
    <d v="2026-07-13T00:00:00"/>
    <x v="0"/>
    <x v="5"/>
    <x v="1"/>
    <x v="1"/>
    <s v="A. Verdi"/>
    <n v="25"/>
    <n v="425"/>
    <n v="120"/>
    <n v="10625"/>
    <n v="3000"/>
    <n v="7625"/>
    <n v="2.5416666666666665"/>
  </r>
  <r>
    <s v="ORD-2026-1029"/>
    <d v="2026-06-20T00:00:00"/>
    <x v="1"/>
    <x v="1"/>
    <x v="3"/>
    <x v="3"/>
    <s v="F. Russo"/>
    <n v="34"/>
    <n v="70"/>
    <n v="32"/>
    <n v="2380"/>
    <n v="1088"/>
    <n v="1292"/>
    <n v="1.1875"/>
  </r>
  <r>
    <s v="ORD-2026-1030"/>
    <d v="2026-08-02T00:00:00"/>
    <x v="1"/>
    <x v="4"/>
    <x v="0"/>
    <x v="0"/>
    <s v="F. Russo"/>
    <n v="42"/>
    <n v="171"/>
    <n v="110"/>
    <n v="7182"/>
    <n v="4620"/>
    <n v="2562"/>
    <n v="0.55454545454545456"/>
  </r>
  <r>
    <s v="ORD-2026-1031"/>
    <d v="2026-06-08T00:00:00"/>
    <x v="2"/>
    <x v="6"/>
    <x v="2"/>
    <x v="2"/>
    <s v="F. Russo"/>
    <n v="30"/>
    <n v="95"/>
    <n v="40"/>
    <n v="2850"/>
    <n v="1200"/>
    <n v="1650"/>
    <n v="1.375"/>
  </r>
  <r>
    <s v="ORD-2026-1032"/>
    <d v="2026-10-02T00:00:00"/>
    <x v="0"/>
    <x v="5"/>
    <x v="3"/>
    <x v="3"/>
    <s v="F. Russo"/>
    <n v="26"/>
    <n v="425"/>
    <n v="120"/>
    <n v="11050"/>
    <n v="3120"/>
    <n v="7930"/>
    <n v="2.5416666666666665"/>
  </r>
  <r>
    <s v="ORD-2026-1033"/>
    <d v="2026-10-18T00:00:00"/>
    <x v="1"/>
    <x v="4"/>
    <x v="1"/>
    <x v="1"/>
    <s v="L. Esposito"/>
    <n v="25"/>
    <n v="153"/>
    <n v="110"/>
    <n v="3825"/>
    <n v="2750"/>
    <n v="1075"/>
    <n v="0.39090909090909093"/>
  </r>
  <r>
    <s v="ORD-2026-1034"/>
    <d v="2026-08-08T00:00:00"/>
    <x v="0"/>
    <x v="0"/>
    <x v="2"/>
    <x v="2"/>
    <s v="Non Disponibile"/>
    <n v="37"/>
    <n v="807.5"/>
    <n v="200"/>
    <n v="29877.5"/>
    <n v="7400"/>
    <n v="22477.5"/>
    <n v="3.0375000000000001"/>
  </r>
  <r>
    <s v="ORD-2026-1035"/>
    <d v="2026-09-02T00:00:00"/>
    <x v="2"/>
    <x v="6"/>
    <x v="1"/>
    <x v="1"/>
    <s v="E. Ferrari"/>
    <n v="39"/>
    <n v="85.5"/>
    <n v="40"/>
    <n v="3334.5"/>
    <n v="1560"/>
    <n v="1774.5"/>
    <n v="1.1375"/>
  </r>
  <r>
    <s v="ORD-2026-1036"/>
    <d v="2026-06-10T00:00:00"/>
    <x v="1"/>
    <x v="1"/>
    <x v="1"/>
    <x v="1"/>
    <s v="A. Verdi"/>
    <n v="32"/>
    <n v="70"/>
    <n v="32"/>
    <n v="2240"/>
    <n v="1024"/>
    <n v="1216"/>
    <n v="1.1875"/>
  </r>
  <r>
    <s v="ORD-2026-1037"/>
    <d v="2026-08-19T00:00:00"/>
    <x v="2"/>
    <x v="6"/>
    <x v="3"/>
    <x v="3"/>
    <s v="F. Russo"/>
    <n v="24"/>
    <n v="85.5"/>
    <n v="40"/>
    <n v="2052"/>
    <n v="960"/>
    <n v="1092"/>
    <n v="1.1375"/>
  </r>
  <r>
    <s v="ORD-2026-1038"/>
    <d v="2026-09-09T00:00:00"/>
    <x v="2"/>
    <x v="10"/>
    <x v="3"/>
    <x v="3"/>
    <s v="F. Russo"/>
    <n v="29"/>
    <n v="102"/>
    <n v="75"/>
    <n v="2958"/>
    <n v="2175"/>
    <n v="783"/>
    <n v="0.36"/>
  </r>
  <r>
    <s v="ORD-2026-1039"/>
    <d v="2026-07-05T00:00:00"/>
    <x v="1"/>
    <x v="1"/>
    <x v="1"/>
    <x v="1"/>
    <s v="G. Bianchi"/>
    <n v="34"/>
    <n v="70"/>
    <n v="32"/>
    <n v="2380"/>
    <n v="1088"/>
    <n v="1292"/>
    <n v="1.1875"/>
  </r>
  <r>
    <s v="ORD-2026-1040"/>
    <d v="2026-08-14T00:00:00"/>
    <x v="2"/>
    <x v="11"/>
    <x v="2"/>
    <x v="2"/>
    <s v="G. Bianchi"/>
    <n v="37"/>
    <n v="65"/>
    <n v="28"/>
    <n v="2405"/>
    <n v="1036"/>
    <n v="1369"/>
    <n v="1.3214285714285714"/>
  </r>
  <r>
    <s v="ORD-2026-1041"/>
    <d v="2026-07-06T00:00:00"/>
    <x v="0"/>
    <x v="0"/>
    <x v="0"/>
    <x v="0"/>
    <s v="F. Russo"/>
    <n v="13"/>
    <n v="850"/>
    <n v="200"/>
    <n v="11050"/>
    <n v="2600"/>
    <n v="8450"/>
    <n v="3.25"/>
  </r>
  <r>
    <s v="ORD-2026-1042"/>
    <d v="2026-08-23T00:00:00"/>
    <x v="1"/>
    <x v="3"/>
    <x v="0"/>
    <x v="0"/>
    <s v="F. Russo"/>
    <n v="12"/>
    <n v="212.5"/>
    <n v="160"/>
    <n v="2550"/>
    <n v="1920"/>
    <n v="630"/>
    <n v="0.328125"/>
  </r>
  <r>
    <s v="ORD-2026-1043"/>
    <d v="2026-10-06T00:00:00"/>
    <x v="1"/>
    <x v="8"/>
    <x v="0"/>
    <x v="0"/>
    <s v="A. Verdi"/>
    <n v="12"/>
    <n v="45"/>
    <n v="20"/>
    <n v="540"/>
    <n v="240"/>
    <n v="300"/>
    <n v="1.25"/>
  </r>
  <r>
    <s v="ORD-2026-1044"/>
    <d v="2026-10-22T00:00:00"/>
    <x v="2"/>
    <x v="11"/>
    <x v="3"/>
    <x v="3"/>
    <s v="L. Esposito"/>
    <n v="31"/>
    <n v="65"/>
    <n v="28"/>
    <n v="2015"/>
    <n v="868"/>
    <n v="1147"/>
    <n v="1.3214285714285714"/>
  </r>
  <r>
    <s v="ORD-2026-1045"/>
    <d v="2026-10-24T00:00:00"/>
    <x v="2"/>
    <x v="9"/>
    <x v="0"/>
    <x v="0"/>
    <s v="E. Ferrari"/>
    <n v="38"/>
    <n v="80.75"/>
    <n v="45"/>
    <n v="3068.5"/>
    <n v="1710"/>
    <n v="1358.5"/>
    <n v="0.7944444444444444"/>
  </r>
  <r>
    <s v="ORD-2026-1046"/>
    <d v="2026-09-30T00:00:00"/>
    <x v="2"/>
    <x v="11"/>
    <x v="2"/>
    <x v="2"/>
    <s v="E. Ferrari"/>
    <n v="1"/>
    <n v="61.75"/>
    <n v="28"/>
    <n v="61.75"/>
    <n v="28"/>
    <n v="33.75"/>
    <n v="1.2053571428571428"/>
  </r>
  <r>
    <s v="ORD-2026-1047"/>
    <d v="2026-10-10T00:00:00"/>
    <x v="0"/>
    <x v="0"/>
    <x v="1"/>
    <x v="1"/>
    <s v="A. Verdi"/>
    <n v="10"/>
    <n v="850"/>
    <n v="200"/>
    <n v="8500"/>
    <n v="2000"/>
    <n v="6500"/>
    <n v="3.25"/>
  </r>
  <r>
    <s v="ORD-2026-1048"/>
    <d v="2026-10-04T00:00:00"/>
    <x v="2"/>
    <x v="10"/>
    <x v="3"/>
    <x v="3"/>
    <s v="E. Ferrari"/>
    <n v="28"/>
    <n v="114"/>
    <n v="75"/>
    <n v="3192"/>
    <n v="2100"/>
    <n v="1092"/>
    <n v="0.52"/>
  </r>
  <r>
    <s v="ORD-2026-1049"/>
    <d v="2026-09-25T00:00:00"/>
    <x v="2"/>
    <x v="11"/>
    <x v="0"/>
    <x v="0"/>
    <s v="L. Esposito"/>
    <n v="21"/>
    <n v="65"/>
    <n v="28"/>
    <n v="1365"/>
    <n v="588"/>
    <n v="777"/>
    <n v="1.3214285714285714"/>
  </r>
  <r>
    <s v="ORD-2026-1050"/>
    <d v="2026-10-24T00:00:00"/>
    <x v="2"/>
    <x v="10"/>
    <x v="1"/>
    <x v="1"/>
    <s v="A. Verdi"/>
    <n v="16"/>
    <n v="120"/>
    <n v="75"/>
    <n v="1920"/>
    <n v="1200"/>
    <n v="720"/>
    <n v="0.6"/>
  </r>
  <r>
    <s v="ORD-2026-1051"/>
    <d v="2026-09-10T00:00:00"/>
    <x v="2"/>
    <x v="9"/>
    <x v="1"/>
    <x v="1"/>
    <s v="G. Bianchi"/>
    <n v="28"/>
    <n v="76.5"/>
    <n v="45"/>
    <n v="2142"/>
    <n v="1260"/>
    <n v="882"/>
    <n v="0.7"/>
  </r>
  <r>
    <s v="ORD-2026-1052"/>
    <d v="2026-10-23T00:00:00"/>
    <x v="2"/>
    <x v="6"/>
    <x v="2"/>
    <x v="2"/>
    <s v="E. Ferrari"/>
    <n v="13"/>
    <n v="90.25"/>
    <n v="40"/>
    <n v="1173.25"/>
    <n v="520"/>
    <n v="653.25"/>
    <n v="1.2562500000000001"/>
  </r>
  <r>
    <s v="ORD-2026-1053"/>
    <d v="2026-07-17T00:00:00"/>
    <x v="1"/>
    <x v="1"/>
    <x v="3"/>
    <x v="3"/>
    <s v="E. Ferrari"/>
    <n v="5"/>
    <n v="70"/>
    <n v="32"/>
    <n v="350"/>
    <n v="160"/>
    <n v="190"/>
    <n v="1.1875"/>
  </r>
  <r>
    <s v="ORD-2026-1054"/>
    <d v="2026-06-11T00:00:00"/>
    <x v="0"/>
    <x v="5"/>
    <x v="3"/>
    <x v="3"/>
    <s v="M. Rossi"/>
    <n v="13"/>
    <n v="500"/>
    <n v="120"/>
    <n v="6500"/>
    <n v="1560"/>
    <n v="4940"/>
    <n v="3.1666666666666665"/>
  </r>
  <r>
    <s v="ORD-2026-1055"/>
    <d v="2026-07-25T00:00:00"/>
    <x v="2"/>
    <x v="11"/>
    <x v="1"/>
    <x v="1"/>
    <s v="A. Verdi"/>
    <n v="23"/>
    <n v="55.25"/>
    <n v="28"/>
    <n v="1270.75"/>
    <n v="644"/>
    <n v="626.75"/>
    <n v="0.9732142857142857"/>
  </r>
  <r>
    <s v="ORD-2026-1056"/>
    <d v="2026-08-24T00:00:00"/>
    <x v="1"/>
    <x v="3"/>
    <x v="0"/>
    <x v="0"/>
    <s v="F. Russo"/>
    <n v="1"/>
    <n v="250"/>
    <n v="160"/>
    <n v="250"/>
    <n v="160"/>
    <n v="90"/>
    <n v="0.5625"/>
  </r>
  <r>
    <s v="ORD-2026-1057"/>
    <d v="2026-07-09T00:00:00"/>
    <x v="1"/>
    <x v="4"/>
    <x v="3"/>
    <x v="3"/>
    <s v="G. Bianchi"/>
    <n v="12"/>
    <n v="180"/>
    <n v="110"/>
    <n v="2160"/>
    <n v="1320"/>
    <n v="840"/>
    <n v="0.63636363636363635"/>
  </r>
  <r>
    <s v="ORD-2026-1058"/>
    <d v="2026-07-27T00:00:00"/>
    <x v="0"/>
    <x v="0"/>
    <x v="0"/>
    <x v="0"/>
    <s v="E. Ferrari"/>
    <n v="14"/>
    <n v="850"/>
    <n v="200"/>
    <n v="11900"/>
    <n v="2800"/>
    <n v="9100"/>
    <n v="3.25"/>
  </r>
  <r>
    <s v="ORD-2026-1059"/>
    <d v="2026-07-08T00:00:00"/>
    <x v="1"/>
    <x v="4"/>
    <x v="3"/>
    <x v="3"/>
    <s v="G. Bianchi"/>
    <n v="38"/>
    <n v="180"/>
    <n v="110"/>
    <n v="6840"/>
    <n v="4180"/>
    <n v="2660"/>
    <n v="0.63636363636363635"/>
  </r>
  <r>
    <s v="ORD-2026-1060"/>
    <d v="2026-07-21T00:00:00"/>
    <x v="2"/>
    <x v="6"/>
    <x v="0"/>
    <x v="0"/>
    <s v="G. Bianchi"/>
    <n v="17"/>
    <n v="85.5"/>
    <n v="40"/>
    <n v="1453.5"/>
    <n v="680"/>
    <n v="773.5"/>
    <n v="1.1375"/>
  </r>
  <r>
    <s v="ORD-2026-1061"/>
    <d v="2026-10-04T00:00:00"/>
    <x v="0"/>
    <x v="0"/>
    <x v="3"/>
    <x v="3"/>
    <s v="A. Verdi"/>
    <n v="16"/>
    <n v="765"/>
    <n v="200"/>
    <n v="12240"/>
    <n v="3200"/>
    <n v="9040"/>
    <n v="2.8250000000000002"/>
  </r>
  <r>
    <s v="ORD-2026-1062"/>
    <d v="2026-09-01T00:00:00"/>
    <x v="2"/>
    <x v="9"/>
    <x v="0"/>
    <x v="0"/>
    <s v="E. Ferrari"/>
    <n v="18"/>
    <n v="76.5"/>
    <n v="45"/>
    <n v="1377"/>
    <n v="810"/>
    <n v="567"/>
    <n v="0.7"/>
  </r>
  <r>
    <s v="ORD-2026-1063"/>
    <d v="2026-10-11T00:00:00"/>
    <x v="1"/>
    <x v="4"/>
    <x v="1"/>
    <x v="1"/>
    <s v="G. Bianchi"/>
    <n v="27"/>
    <n v="180"/>
    <n v="110"/>
    <n v="4860"/>
    <n v="2970"/>
    <n v="1890"/>
    <n v="0.63636363636363635"/>
  </r>
  <r>
    <s v="ORD-2026-1064"/>
    <d v="2026-07-26T00:00:00"/>
    <x v="0"/>
    <x v="5"/>
    <x v="2"/>
    <x v="2"/>
    <s v="M. Rossi"/>
    <n v="8"/>
    <n v="500"/>
    <n v="120"/>
    <n v="4000"/>
    <n v="960"/>
    <n v="3040"/>
    <n v="3.1666666666666665"/>
  </r>
  <r>
    <s v="ORD-2026-1065"/>
    <d v="2026-07-26T00:00:00"/>
    <x v="1"/>
    <x v="1"/>
    <x v="2"/>
    <x v="2"/>
    <s v="G. Bianchi"/>
    <n v="26"/>
    <n v="66.5"/>
    <n v="32"/>
    <n v="1729"/>
    <n v="832"/>
    <n v="897"/>
    <n v="1.078125"/>
  </r>
  <r>
    <s v="ORD-2026-1066"/>
    <d v="2026-09-15T00:00:00"/>
    <x v="2"/>
    <x v="9"/>
    <x v="3"/>
    <x v="3"/>
    <s v="A. Verdi"/>
    <n v="15"/>
    <n v="85"/>
    <n v="45"/>
    <n v="1275"/>
    <n v="675"/>
    <n v="600"/>
    <n v="0.88888888888888884"/>
  </r>
  <r>
    <s v="ORD-2026-1067"/>
    <d v="2026-06-17T00:00:00"/>
    <x v="1"/>
    <x v="4"/>
    <x v="4"/>
    <x v="0"/>
    <s v="E. Ferrari"/>
    <n v="20"/>
    <n v="180"/>
    <n v="110"/>
    <n v="3600"/>
    <n v="2200"/>
    <n v="1400"/>
    <n v="0.63636363636363635"/>
  </r>
  <r>
    <s v="ORD-2026-1068"/>
    <d v="2026-09-19T00:00:00"/>
    <x v="1"/>
    <x v="4"/>
    <x v="2"/>
    <x v="2"/>
    <s v="M. Rossi"/>
    <n v="44"/>
    <n v="180"/>
    <n v="110"/>
    <n v="7920"/>
    <n v="4840"/>
    <n v="3080"/>
    <n v="0.63636363636363635"/>
  </r>
  <r>
    <s v="ORD-2026-1069"/>
    <d v="2026-08-03T00:00:00"/>
    <x v="0"/>
    <x v="5"/>
    <x v="0"/>
    <x v="0"/>
    <s v="M. Rossi"/>
    <n v="22"/>
    <n v="425"/>
    <n v="120"/>
    <n v="9350"/>
    <n v="2640"/>
    <n v="6710"/>
    <n v="2.5416666666666665"/>
  </r>
  <r>
    <s v="ORD-2026-1070"/>
    <d v="2026-08-14T00:00:00"/>
    <x v="1"/>
    <x v="8"/>
    <x v="0"/>
    <x v="0"/>
    <s v="A. Verdi"/>
    <n v="31"/>
    <n v="38.25"/>
    <n v="20"/>
    <n v="1185.75"/>
    <n v="620"/>
    <n v="565.75"/>
    <n v="0.91249999999999998"/>
  </r>
  <r>
    <s v="ORD-2026-1071"/>
    <d v="2026-08-14T00:00:00"/>
    <x v="1"/>
    <x v="4"/>
    <x v="2"/>
    <x v="2"/>
    <s v="L. Esposito"/>
    <n v="2"/>
    <n v="180"/>
    <n v="110"/>
    <n v="360"/>
    <n v="220"/>
    <n v="140"/>
    <n v="0.63636363636363635"/>
  </r>
  <r>
    <s v="ORD-2026-1072"/>
    <d v="2026-08-09T00:00:00"/>
    <x v="0"/>
    <x v="5"/>
    <x v="2"/>
    <x v="2"/>
    <s v="M. Rossi"/>
    <n v="26"/>
    <n v="475"/>
    <n v="120"/>
    <n v="12350"/>
    <n v="3120"/>
    <n v="9230"/>
    <n v="2.9583333333333335"/>
  </r>
  <r>
    <s v="ORD-2026-1073"/>
    <d v="2026-09-08T00:00:00"/>
    <x v="0"/>
    <x v="5"/>
    <x v="2"/>
    <x v="2"/>
    <s v="G. Bianchi"/>
    <n v="5"/>
    <n v="500"/>
    <n v="120"/>
    <n v="2500"/>
    <n v="600"/>
    <n v="1900"/>
    <n v="3.1666666666666665"/>
  </r>
  <r>
    <s v="ORD-2026-1074"/>
    <d v="2026-08-04T00:00:00"/>
    <x v="2"/>
    <x v="10"/>
    <x v="5"/>
    <x v="3"/>
    <s v="L. Esposito"/>
    <n v="35"/>
    <n v="114"/>
    <n v="75"/>
    <n v="3990"/>
    <n v="2625"/>
    <n v="1365"/>
    <n v="0.52"/>
  </r>
  <r>
    <s v="ORD-2026-1075"/>
    <d v="2026-08-17T00:00:00"/>
    <x v="0"/>
    <x v="5"/>
    <x v="3"/>
    <x v="3"/>
    <s v="Non Disponibile"/>
    <n v="1"/>
    <n v="475"/>
    <n v="120"/>
    <n v="475"/>
    <n v="120"/>
    <n v="355"/>
    <n v="2.9583333333333335"/>
  </r>
  <r>
    <s v="ORD-2026-1076"/>
    <d v="2026-06-14T00:00:00"/>
    <x v="0"/>
    <x v="5"/>
    <x v="3"/>
    <x v="3"/>
    <s v="A. Verdi"/>
    <n v="14"/>
    <n v="500"/>
    <n v="120"/>
    <n v="7000"/>
    <n v="1680"/>
    <n v="5320"/>
    <n v="3.1666666666666665"/>
  </r>
  <r>
    <s v="ORD-2026-1077"/>
    <d v="2026-10-24T00:00:00"/>
    <x v="0"/>
    <x v="2"/>
    <x v="0"/>
    <x v="0"/>
    <s v="L. Esposito"/>
    <n v="33"/>
    <n v="60"/>
    <n v="15"/>
    <n v="1980"/>
    <n v="495"/>
    <n v="1485"/>
    <n v="3"/>
  </r>
  <r>
    <s v="ORD-2026-1078"/>
    <d v="2026-07-23T00:00:00"/>
    <x v="0"/>
    <x v="0"/>
    <x v="6"/>
    <x v="1"/>
    <s v="A. Verdi"/>
    <n v="7"/>
    <n v="850"/>
    <n v="200"/>
    <n v="5950"/>
    <n v="1400"/>
    <n v="4550"/>
    <n v="3.25"/>
  </r>
  <r>
    <s v="ORD-2026-1079"/>
    <d v="2026-07-03T00:00:00"/>
    <x v="0"/>
    <x v="0"/>
    <x v="1"/>
    <x v="1"/>
    <s v="M. Rossi"/>
    <n v="33"/>
    <n v="722.5"/>
    <n v="200"/>
    <n v="23842.5"/>
    <n v="6600"/>
    <n v="17242.5"/>
    <n v="2.6124999999999998"/>
  </r>
  <r>
    <s v="ORD-2026-1080"/>
    <d v="2026-08-25T00:00:00"/>
    <x v="2"/>
    <x v="7"/>
    <x v="1"/>
    <x v="1"/>
    <s v="L. Esposito"/>
    <n v="13"/>
    <n v="288"/>
    <n v="210"/>
    <n v="3744"/>
    <n v="2730"/>
    <n v="1014"/>
    <n v="0.37142857142857144"/>
  </r>
  <r>
    <s v="ORD-2026-1081"/>
    <d v="2026-10-14T00:00:00"/>
    <x v="0"/>
    <x v="5"/>
    <x v="3"/>
    <x v="3"/>
    <s v="A. Verdi"/>
    <n v="36"/>
    <n v="450"/>
    <n v="120"/>
    <n v="16200"/>
    <n v="4320"/>
    <n v="11880"/>
    <n v="2.75"/>
  </r>
  <r>
    <s v="ORD-2026-1082"/>
    <d v="2026-08-13T00:00:00"/>
    <x v="1"/>
    <x v="1"/>
    <x v="1"/>
    <x v="1"/>
    <s v="L. Esposito"/>
    <n v="43"/>
    <n v="63"/>
    <n v="32"/>
    <n v="2709"/>
    <n v="1376"/>
    <n v="1333"/>
    <n v="0.96875"/>
  </r>
  <r>
    <s v="ORD-2026-1083"/>
    <d v="2026-09-19T00:00:00"/>
    <x v="0"/>
    <x v="5"/>
    <x v="2"/>
    <x v="2"/>
    <s v="G. Bianchi"/>
    <n v="28"/>
    <n v="500"/>
    <n v="120"/>
    <n v="14000"/>
    <n v="3360"/>
    <n v="10640"/>
    <n v="3.1666666666666665"/>
  </r>
  <r>
    <s v="ORD-2026-1084"/>
    <d v="2026-07-11T00:00:00"/>
    <x v="0"/>
    <x v="5"/>
    <x v="4"/>
    <x v="0"/>
    <s v="G. Bianchi"/>
    <n v="36"/>
    <n v="475"/>
    <n v="120"/>
    <n v="17100"/>
    <n v="4320"/>
    <n v="12780"/>
    <n v="2.9583333333333335"/>
  </r>
  <r>
    <s v="ORD-2026-1085"/>
    <d v="2026-09-23T00:00:00"/>
    <x v="2"/>
    <x v="10"/>
    <x v="1"/>
    <x v="1"/>
    <s v="F. Russo"/>
    <n v="26"/>
    <n v="120"/>
    <n v="75"/>
    <n v="3120"/>
    <n v="1950"/>
    <n v="1170"/>
    <n v="0.6"/>
  </r>
  <r>
    <s v="ORD-2026-1086"/>
    <d v="2026-07-08T00:00:00"/>
    <x v="1"/>
    <x v="8"/>
    <x v="0"/>
    <x v="0"/>
    <s v="A. Verdi"/>
    <n v="44"/>
    <n v="45"/>
    <n v="20"/>
    <n v="1980"/>
    <n v="880"/>
    <n v="1100"/>
    <n v="1.25"/>
  </r>
  <r>
    <s v="ORD-2026-1087"/>
    <d v="2026-08-27T00:00:00"/>
    <x v="2"/>
    <x v="7"/>
    <x v="2"/>
    <x v="2"/>
    <s v="G. Bianchi"/>
    <n v="21"/>
    <n v="320"/>
    <n v="210"/>
    <n v="6720"/>
    <n v="4410"/>
    <n v="2310"/>
    <n v="0.52380952380952384"/>
  </r>
  <r>
    <s v="ORD-2026-1088"/>
    <d v="2026-09-26T00:00:00"/>
    <x v="0"/>
    <x v="5"/>
    <x v="3"/>
    <x v="3"/>
    <s v="M. Rossi"/>
    <n v="32"/>
    <n v="425"/>
    <n v="120"/>
    <n v="13600"/>
    <n v="3840"/>
    <n v="9760"/>
    <n v="2.5416666666666665"/>
  </r>
  <r>
    <s v="ORD-2026-1089"/>
    <d v="2026-08-01T00:00:00"/>
    <x v="2"/>
    <x v="10"/>
    <x v="1"/>
    <x v="1"/>
    <s v="A. Verdi"/>
    <n v="18"/>
    <n v="120"/>
    <n v="75"/>
    <n v="2160"/>
    <n v="1350"/>
    <n v="810"/>
    <n v="0.6"/>
  </r>
  <r>
    <s v="ORD-2026-1090"/>
    <d v="2026-09-21T00:00:00"/>
    <x v="1"/>
    <x v="8"/>
    <x v="0"/>
    <x v="0"/>
    <s v="E. Ferrari"/>
    <n v="39"/>
    <n v="45"/>
    <n v="20"/>
    <n v="1755"/>
    <n v="780"/>
    <n v="975"/>
    <n v="1.25"/>
  </r>
  <r>
    <s v="ORD-2026-1091"/>
    <d v="2026-10-02T00:00:00"/>
    <x v="0"/>
    <x v="2"/>
    <x v="2"/>
    <x v="2"/>
    <s v="M. Rossi"/>
    <n v="3"/>
    <n v="60"/>
    <n v="15"/>
    <n v="180"/>
    <n v="45"/>
    <n v="135"/>
    <n v="3"/>
  </r>
  <r>
    <s v="ORD-2026-1092"/>
    <d v="2026-08-06T00:00:00"/>
    <x v="0"/>
    <x v="2"/>
    <x v="2"/>
    <x v="2"/>
    <s v="L. Esposito"/>
    <n v="32"/>
    <n v="57"/>
    <n v="15"/>
    <n v="1824"/>
    <n v="480"/>
    <n v="1344"/>
    <n v="2.8"/>
  </r>
  <r>
    <s v="ORD-2026-1093"/>
    <d v="2026-10-20T00:00:00"/>
    <x v="1"/>
    <x v="8"/>
    <x v="0"/>
    <x v="0"/>
    <s v="E. Ferrari"/>
    <n v="19"/>
    <n v="38.25"/>
    <n v="20"/>
    <n v="726.75"/>
    <n v="380"/>
    <n v="346.75"/>
    <n v="0.91249999999999998"/>
  </r>
  <r>
    <s v="ORD-2026-1094"/>
    <d v="2026-10-07T00:00:00"/>
    <x v="0"/>
    <x v="2"/>
    <x v="3"/>
    <x v="3"/>
    <s v="F. Russo"/>
    <n v="20"/>
    <n v="51"/>
    <n v="15"/>
    <n v="1020"/>
    <n v="300"/>
    <n v="720"/>
    <n v="2.4"/>
  </r>
  <r>
    <s v="ORD-2026-1095"/>
    <d v="2026-07-23T00:00:00"/>
    <x v="1"/>
    <x v="4"/>
    <x v="0"/>
    <x v="0"/>
    <s v="G. Bianchi"/>
    <n v="30"/>
    <n v="180"/>
    <n v="110"/>
    <n v="5400"/>
    <n v="3300"/>
    <n v="2100"/>
    <n v="0.63636363636363635"/>
  </r>
  <r>
    <s v="ORD-2026-1096"/>
    <d v="2026-09-23T00:00:00"/>
    <x v="2"/>
    <x v="9"/>
    <x v="3"/>
    <x v="3"/>
    <s v="M. Rossi"/>
    <n v="22"/>
    <n v="85"/>
    <n v="45"/>
    <n v="1870"/>
    <n v="990"/>
    <n v="880"/>
    <n v="0.88888888888888884"/>
  </r>
  <r>
    <s v="ORD-2026-1097"/>
    <d v="2026-09-06T00:00:00"/>
    <x v="0"/>
    <x v="2"/>
    <x v="0"/>
    <x v="0"/>
    <s v="G. Bianchi"/>
    <n v="36"/>
    <n v="60"/>
    <n v="15"/>
    <n v="2160"/>
    <n v="540"/>
    <n v="1620"/>
    <n v="3"/>
  </r>
  <r>
    <s v="ORD-2026-1098"/>
    <d v="2026-09-30T00:00:00"/>
    <x v="2"/>
    <x v="9"/>
    <x v="5"/>
    <x v="3"/>
    <s v="M. Rossi"/>
    <n v="31"/>
    <n v="80.75"/>
    <n v="45"/>
    <n v="2503.25"/>
    <n v="1395"/>
    <n v="1108.25"/>
    <n v="0.7944444444444444"/>
  </r>
  <r>
    <s v="ORD-2026-1099"/>
    <d v="2026-07-23T00:00:00"/>
    <x v="2"/>
    <x v="10"/>
    <x v="2"/>
    <x v="2"/>
    <s v="L. Esposito"/>
    <n v="2"/>
    <n v="108"/>
    <n v="75"/>
    <n v="216"/>
    <n v="150"/>
    <n v="66"/>
    <n v="0.44"/>
  </r>
  <r>
    <s v="ORD-2026-1100"/>
    <d v="2026-09-23T00:00:00"/>
    <x v="2"/>
    <x v="7"/>
    <x v="2"/>
    <x v="2"/>
    <s v="F. Russo"/>
    <n v="39"/>
    <n v="320"/>
    <n v="210"/>
    <n v="12480"/>
    <n v="8190"/>
    <n v="4290"/>
    <n v="0.52380952380952384"/>
  </r>
  <r>
    <s v="ORD-2026-1101"/>
    <d v="2026-08-08T00:00:00"/>
    <x v="1"/>
    <x v="1"/>
    <x v="3"/>
    <x v="3"/>
    <s v="A. Verdi"/>
    <n v="43"/>
    <n v="70"/>
    <n v="32"/>
    <n v="3010"/>
    <n v="1376"/>
    <n v="1634"/>
    <n v="1.1875"/>
  </r>
  <r>
    <s v="ORD-2026-1102"/>
    <d v="2026-08-12T00:00:00"/>
    <x v="2"/>
    <x v="10"/>
    <x v="3"/>
    <x v="3"/>
    <s v="G. Bianchi"/>
    <n v="25"/>
    <n v="120"/>
    <n v="75"/>
    <n v="3000"/>
    <n v="1875"/>
    <n v="1125"/>
    <n v="0.6"/>
  </r>
  <r>
    <s v="ORD-2026-1103"/>
    <d v="2026-09-10T00:00:00"/>
    <x v="0"/>
    <x v="5"/>
    <x v="3"/>
    <x v="3"/>
    <s v="M. Rossi"/>
    <n v="17"/>
    <n v="500"/>
    <n v="120"/>
    <n v="8500"/>
    <n v="2040"/>
    <n v="6460"/>
    <n v="3.1666666666666665"/>
  </r>
  <r>
    <s v="ORD-2026-1104"/>
    <d v="2026-08-19T00:00:00"/>
    <x v="0"/>
    <x v="5"/>
    <x v="0"/>
    <x v="0"/>
    <s v="L. Esposito"/>
    <n v="16"/>
    <n v="475"/>
    <n v="120"/>
    <n v="7600"/>
    <n v="1920"/>
    <n v="5680"/>
    <n v="2.9583333333333335"/>
  </r>
  <r>
    <s v="ORD-2026-1105"/>
    <d v="2026-07-29T00:00:00"/>
    <x v="2"/>
    <x v="9"/>
    <x v="1"/>
    <x v="1"/>
    <s v="M. Rossi"/>
    <n v="23"/>
    <n v="85"/>
    <n v="45"/>
    <n v="1955"/>
    <n v="1035"/>
    <n v="920"/>
    <n v="0.88888888888888884"/>
  </r>
  <r>
    <s v="ORD-2026-1106"/>
    <d v="2026-09-25T00:00:00"/>
    <x v="0"/>
    <x v="2"/>
    <x v="0"/>
    <x v="0"/>
    <s v="G. Bianchi"/>
    <n v="31"/>
    <n v="57"/>
    <n v="15"/>
    <n v="1767"/>
    <n v="465"/>
    <n v="1302"/>
    <n v="2.8"/>
  </r>
  <r>
    <s v="ORD-2026-1107"/>
    <d v="2026-09-11T00:00:00"/>
    <x v="0"/>
    <x v="0"/>
    <x v="0"/>
    <x v="0"/>
    <s v="G. Bianchi"/>
    <n v="3"/>
    <n v="722.5"/>
    <n v="200"/>
    <n v="2167.5"/>
    <n v="600"/>
    <n v="1567.5"/>
    <n v="2.6124999999999998"/>
  </r>
  <r>
    <s v="ORD-2026-1108"/>
    <d v="2026-07-09T00:00:00"/>
    <x v="2"/>
    <x v="6"/>
    <x v="0"/>
    <x v="0"/>
    <s v="E. Ferrari"/>
    <n v="18"/>
    <n v="95"/>
    <n v="40"/>
    <n v="1710"/>
    <n v="720"/>
    <n v="990"/>
    <n v="1.375"/>
  </r>
  <r>
    <s v="ORD-2026-1109"/>
    <d v="2026-07-25T00:00:00"/>
    <x v="1"/>
    <x v="4"/>
    <x v="0"/>
    <x v="0"/>
    <s v="E. Ferrari"/>
    <n v="18"/>
    <n v="180"/>
    <n v="110"/>
    <n v="3240"/>
    <n v="1980"/>
    <n v="1260"/>
    <n v="0.63636363636363635"/>
  </r>
  <r>
    <s v="ORD-2026-1110"/>
    <d v="2026-08-01T00:00:00"/>
    <x v="2"/>
    <x v="6"/>
    <x v="1"/>
    <x v="1"/>
    <s v="L. Esposito"/>
    <n v="25"/>
    <n v="85.5"/>
    <n v="40"/>
    <n v="2137.5"/>
    <n v="1000"/>
    <n v="1137.5"/>
    <n v="1.1375"/>
  </r>
  <r>
    <s v="ORD-2026-1111"/>
    <d v="2026-10-20T00:00:00"/>
    <x v="1"/>
    <x v="1"/>
    <x v="0"/>
    <x v="0"/>
    <s v="M. Rossi"/>
    <n v="1"/>
    <n v="59.5"/>
    <n v="32"/>
    <n v="59.5"/>
    <n v="32"/>
    <n v="27.5"/>
    <n v="0.859375"/>
  </r>
  <r>
    <s v="ORD-2026-1112"/>
    <d v="2026-08-27T00:00:00"/>
    <x v="0"/>
    <x v="2"/>
    <x v="0"/>
    <x v="0"/>
    <s v="A. Verdi"/>
    <n v="6"/>
    <n v="57"/>
    <n v="15"/>
    <n v="342"/>
    <n v="90"/>
    <n v="252"/>
    <n v="2.8"/>
  </r>
  <r>
    <s v="ORD-2026-1113"/>
    <d v="2026-07-22T00:00:00"/>
    <x v="2"/>
    <x v="11"/>
    <x v="1"/>
    <x v="1"/>
    <s v="G. Bianchi"/>
    <n v="43"/>
    <n v="65"/>
    <n v="28"/>
    <n v="2795"/>
    <n v="1204"/>
    <n v="1591"/>
    <n v="1.3214285714285714"/>
  </r>
  <r>
    <s v="ORD-2026-1114"/>
    <d v="2026-09-28T00:00:00"/>
    <x v="2"/>
    <x v="10"/>
    <x v="2"/>
    <x v="2"/>
    <s v="G. Bianchi"/>
    <n v="42"/>
    <n v="120"/>
    <n v="75"/>
    <n v="5040"/>
    <n v="3150"/>
    <n v="1890"/>
    <n v="0.6"/>
  </r>
  <r>
    <s v="ORD-2026-1115"/>
    <d v="2026-06-13T00:00:00"/>
    <x v="0"/>
    <x v="5"/>
    <x v="1"/>
    <x v="1"/>
    <s v="E. Ferrari"/>
    <n v="34"/>
    <n v="500"/>
    <n v="120"/>
    <n v="17000"/>
    <n v="4080"/>
    <n v="12920"/>
    <n v="3.1666666666666665"/>
  </r>
  <r>
    <s v="ORD-2026-1116"/>
    <d v="2026-10-15T00:00:00"/>
    <x v="1"/>
    <x v="1"/>
    <x v="3"/>
    <x v="3"/>
    <s v="M. Rossi"/>
    <n v="5"/>
    <n v="70"/>
    <n v="32"/>
    <n v="350"/>
    <n v="160"/>
    <n v="190"/>
    <n v="1.1875"/>
  </r>
  <r>
    <s v="ORD-2026-1117"/>
    <d v="2026-08-11T00:00:00"/>
    <x v="1"/>
    <x v="4"/>
    <x v="2"/>
    <x v="2"/>
    <s v="E. Ferrari"/>
    <n v="28"/>
    <n v="153"/>
    <n v="110"/>
    <n v="4284"/>
    <n v="3080"/>
    <n v="1204"/>
    <n v="0.39090909090909093"/>
  </r>
  <r>
    <s v="ORD-2026-1118"/>
    <d v="2026-08-01T00:00:00"/>
    <x v="1"/>
    <x v="8"/>
    <x v="1"/>
    <x v="1"/>
    <s v="A. Verdi"/>
    <n v="13"/>
    <n v="38.25"/>
    <n v="20"/>
    <n v="497.25"/>
    <n v="260"/>
    <n v="237.25"/>
    <n v="0.91249999999999998"/>
  </r>
  <r>
    <s v="ORD-2026-1119"/>
    <d v="2026-08-31T00:00:00"/>
    <x v="0"/>
    <x v="5"/>
    <x v="0"/>
    <x v="0"/>
    <s v="M. Rossi"/>
    <n v="42"/>
    <n v="450"/>
    <n v="120"/>
    <n v="18900"/>
    <n v="5040"/>
    <n v="13860"/>
    <n v="2.75"/>
  </r>
  <r>
    <s v="ORD-2026-1120"/>
    <d v="2026-07-15T00:00:00"/>
    <x v="0"/>
    <x v="0"/>
    <x v="1"/>
    <x v="1"/>
    <s v="A. Verdi"/>
    <n v="30"/>
    <n v="850"/>
    <n v="200"/>
    <n v="25500"/>
    <n v="6000"/>
    <n v="19500"/>
    <n v="3.25"/>
  </r>
  <r>
    <s v="ORD-2026-1121"/>
    <d v="2026-07-09T00:00:00"/>
    <x v="2"/>
    <x v="7"/>
    <x v="0"/>
    <x v="0"/>
    <s v="G. Bianchi"/>
    <n v="24"/>
    <n v="272"/>
    <n v="210"/>
    <n v="6528"/>
    <n v="5040"/>
    <n v="1488"/>
    <n v="0.29523809523809524"/>
  </r>
  <r>
    <s v="ORD-2026-1122"/>
    <d v="2026-08-13T00:00:00"/>
    <x v="1"/>
    <x v="8"/>
    <x v="3"/>
    <x v="3"/>
    <s v="L. Esposito"/>
    <n v="37"/>
    <n v="38.25"/>
    <n v="20"/>
    <n v="1415.25"/>
    <n v="740"/>
    <n v="675.25"/>
    <n v="0.91249999999999998"/>
  </r>
  <r>
    <s v="ORD-2026-1123"/>
    <d v="2026-08-07T00:00:00"/>
    <x v="2"/>
    <x v="6"/>
    <x v="1"/>
    <x v="1"/>
    <s v="L. Esposito"/>
    <n v="1"/>
    <n v="90.25"/>
    <n v="40"/>
    <n v="90.25"/>
    <n v="40"/>
    <n v="50.25"/>
    <n v="1.2562500000000001"/>
  </r>
  <r>
    <s v="ORD-2026-1124"/>
    <d v="2026-06-29T00:00:00"/>
    <x v="0"/>
    <x v="0"/>
    <x v="2"/>
    <x v="2"/>
    <s v="E. Ferrari"/>
    <n v="11"/>
    <n v="850"/>
    <n v="200"/>
    <n v="9350"/>
    <n v="2200"/>
    <n v="7150"/>
    <n v="3.25"/>
  </r>
  <r>
    <s v="ORD-2026-1125"/>
    <d v="2026-07-28T00:00:00"/>
    <x v="1"/>
    <x v="4"/>
    <x v="2"/>
    <x v="2"/>
    <s v="M. Rossi"/>
    <n v="35"/>
    <n v="153"/>
    <n v="110"/>
    <n v="5355"/>
    <n v="3850"/>
    <n v="1505"/>
    <n v="0.39090909090909093"/>
  </r>
  <r>
    <s v="ORD-2026-1126"/>
    <d v="2026-08-14T00:00:00"/>
    <x v="1"/>
    <x v="8"/>
    <x v="1"/>
    <x v="1"/>
    <s v="A. Verdi"/>
    <n v="27"/>
    <n v="45"/>
    <n v="20"/>
    <n v="1215"/>
    <n v="540"/>
    <n v="675"/>
    <n v="1.25"/>
  </r>
  <r>
    <s v="ORD-2026-1127"/>
    <d v="2026-06-21T00:00:00"/>
    <x v="2"/>
    <x v="7"/>
    <x v="3"/>
    <x v="3"/>
    <s v="M. Rossi"/>
    <n v="5"/>
    <n v="320"/>
    <n v="210"/>
    <n v="1600"/>
    <n v="1050"/>
    <n v="550"/>
    <n v="0.52380952380952384"/>
  </r>
  <r>
    <s v="ORD-2026-1128"/>
    <d v="2026-08-03T00:00:00"/>
    <x v="1"/>
    <x v="8"/>
    <x v="3"/>
    <x v="3"/>
    <s v="F. Russo"/>
    <n v="25"/>
    <n v="45"/>
    <n v="20"/>
    <n v="1125"/>
    <n v="500"/>
    <n v="625"/>
    <n v="1.25"/>
  </r>
  <r>
    <s v="ORD-2026-1129"/>
    <d v="2026-07-20T00:00:00"/>
    <x v="0"/>
    <x v="5"/>
    <x v="4"/>
    <x v="0"/>
    <s v="F. Russo"/>
    <n v="3"/>
    <n v="450"/>
    <n v="120"/>
    <n v="1350"/>
    <n v="360"/>
    <n v="990"/>
    <n v="2.75"/>
  </r>
  <r>
    <s v="ORD-2026-1130"/>
    <d v="2026-06-17T00:00:00"/>
    <x v="2"/>
    <x v="10"/>
    <x v="1"/>
    <x v="1"/>
    <s v="L. Esposito"/>
    <n v="2"/>
    <n v="120"/>
    <n v="75"/>
    <n v="240"/>
    <n v="150"/>
    <n v="90"/>
    <n v="0.6"/>
  </r>
  <r>
    <s v="ORD-2026-1131"/>
    <d v="2026-08-03T00:00:00"/>
    <x v="0"/>
    <x v="0"/>
    <x v="3"/>
    <x v="3"/>
    <s v="E. Ferrari"/>
    <n v="25"/>
    <n v="850"/>
    <n v="200"/>
    <n v="21250"/>
    <n v="5000"/>
    <n v="16250"/>
    <n v="3.25"/>
  </r>
  <r>
    <s v="ORD-2026-1132"/>
    <d v="2026-08-27T00:00:00"/>
    <x v="2"/>
    <x v="6"/>
    <x v="1"/>
    <x v="1"/>
    <s v="G. Bianchi"/>
    <n v="33"/>
    <n v="95"/>
    <n v="40"/>
    <n v="3135"/>
    <n v="1320"/>
    <n v="1815"/>
    <n v="1.375"/>
  </r>
  <r>
    <s v="ORD-2026-1133"/>
    <d v="2026-08-16T00:00:00"/>
    <x v="1"/>
    <x v="8"/>
    <x v="5"/>
    <x v="3"/>
    <s v="Non Disponibile"/>
    <n v="15"/>
    <n v="45"/>
    <n v="20"/>
    <n v="675"/>
    <n v="300"/>
    <n v="375"/>
    <n v="1.25"/>
  </r>
  <r>
    <s v="ORD-2026-1134"/>
    <d v="2026-07-31T00:00:00"/>
    <x v="1"/>
    <x v="3"/>
    <x v="3"/>
    <x v="3"/>
    <s v="M. Rossi"/>
    <n v="12"/>
    <n v="250"/>
    <n v="160"/>
    <n v="3000"/>
    <n v="1920"/>
    <n v="1080"/>
    <n v="0.5625"/>
  </r>
  <r>
    <s v="ORD-2026-1135"/>
    <d v="2026-10-05T00:00:00"/>
    <x v="1"/>
    <x v="4"/>
    <x v="3"/>
    <x v="3"/>
    <s v="A. Verdi"/>
    <n v="41"/>
    <n v="162"/>
    <n v="110"/>
    <n v="6642"/>
    <n v="4510"/>
    <n v="2132"/>
    <n v="0.47272727272727272"/>
  </r>
  <r>
    <s v="ORD-2026-1136"/>
    <d v="2026-08-26T00:00:00"/>
    <x v="2"/>
    <x v="11"/>
    <x v="3"/>
    <x v="3"/>
    <s v="L. Esposito"/>
    <n v="36"/>
    <n v="55.25"/>
    <n v="28"/>
    <n v="1989"/>
    <n v="1008"/>
    <n v="981"/>
    <n v="0.9732142857142857"/>
  </r>
  <r>
    <s v="ORD-2026-1137"/>
    <d v="2026-07-21T00:00:00"/>
    <x v="1"/>
    <x v="4"/>
    <x v="0"/>
    <x v="0"/>
    <s v="M. Rossi"/>
    <n v="3"/>
    <n v="162"/>
    <n v="110"/>
    <n v="486"/>
    <n v="330"/>
    <n v="156"/>
    <n v="0.47272727272727272"/>
  </r>
  <r>
    <s v="ORD-2026-1138"/>
    <d v="2026-09-05T00:00:00"/>
    <x v="2"/>
    <x v="11"/>
    <x v="0"/>
    <x v="0"/>
    <s v="F. Russo"/>
    <n v="37"/>
    <n v="58.5"/>
    <n v="28"/>
    <n v="2164.5"/>
    <n v="1036"/>
    <n v="1128.5"/>
    <n v="1.0892857142857142"/>
  </r>
  <r>
    <s v="ORD-2026-1139"/>
    <d v="2026-07-20T00:00:00"/>
    <x v="2"/>
    <x v="6"/>
    <x v="1"/>
    <x v="1"/>
    <s v="F. Russo"/>
    <n v="2"/>
    <n v="95"/>
    <n v="40"/>
    <n v="190"/>
    <n v="80"/>
    <n v="110"/>
    <n v="1.375"/>
  </r>
  <r>
    <s v="ORD-2026-1140"/>
    <d v="2026-10-03T00:00:00"/>
    <x v="2"/>
    <x v="9"/>
    <x v="3"/>
    <x v="3"/>
    <s v="M. Rossi"/>
    <n v="35"/>
    <n v="85"/>
    <n v="45"/>
    <n v="2975"/>
    <n v="1575"/>
    <n v="1400"/>
    <n v="0.88888888888888884"/>
  </r>
  <r>
    <s v="ORD-2026-1141"/>
    <d v="2026-06-14T00:00:00"/>
    <x v="0"/>
    <x v="5"/>
    <x v="0"/>
    <x v="0"/>
    <s v="M. Rossi"/>
    <n v="14"/>
    <n v="500"/>
    <n v="120"/>
    <n v="7000"/>
    <n v="1680"/>
    <n v="5320"/>
    <n v="3.1666666666666665"/>
  </r>
  <r>
    <s v="ORD-2026-1142"/>
    <d v="2026-08-28T00:00:00"/>
    <x v="1"/>
    <x v="8"/>
    <x v="3"/>
    <x v="3"/>
    <s v="M. Rossi"/>
    <n v="40"/>
    <n v="40.5"/>
    <n v="20"/>
    <n v="1620"/>
    <n v="800"/>
    <n v="820"/>
    <n v="1.0249999999999999"/>
  </r>
  <r>
    <s v="ORD-2026-1143"/>
    <d v="2026-10-17T00:00:00"/>
    <x v="1"/>
    <x v="4"/>
    <x v="0"/>
    <x v="0"/>
    <s v="G. Bianchi"/>
    <n v="12"/>
    <n v="171"/>
    <n v="110"/>
    <n v="2052"/>
    <n v="1320"/>
    <n v="732"/>
    <n v="0.55454545454545456"/>
  </r>
  <r>
    <s v="ORD-2026-1144"/>
    <d v="2026-06-01T00:00:00"/>
    <x v="1"/>
    <x v="1"/>
    <x v="3"/>
    <x v="3"/>
    <s v="E. Ferrari"/>
    <n v="37"/>
    <n v="63"/>
    <n v="32"/>
    <n v="2331"/>
    <n v="1184"/>
    <n v="1147"/>
    <n v="0.96875"/>
  </r>
  <r>
    <s v="ORD-2026-1145"/>
    <d v="2026-09-19T00:00:00"/>
    <x v="0"/>
    <x v="5"/>
    <x v="1"/>
    <x v="1"/>
    <s v="G. Bianchi"/>
    <n v="9"/>
    <n v="425"/>
    <n v="120"/>
    <n v="3825"/>
    <n v="1080"/>
    <n v="2745"/>
    <n v="2.5416666666666665"/>
  </r>
  <r>
    <s v="ORD-2026-1146"/>
    <d v="2026-07-29T00:00:00"/>
    <x v="2"/>
    <x v="7"/>
    <x v="1"/>
    <x v="1"/>
    <s v="Non Disponibile"/>
    <n v="24"/>
    <n v="320"/>
    <n v="210"/>
    <n v="7680"/>
    <n v="5040"/>
    <n v="2640"/>
    <n v="0.52380952380952384"/>
  </r>
  <r>
    <s v="ORD-2026-1147"/>
    <d v="2026-07-09T00:00:00"/>
    <x v="0"/>
    <x v="0"/>
    <x v="2"/>
    <x v="2"/>
    <s v="L. Esposito"/>
    <n v="20"/>
    <n v="807.5"/>
    <n v="200"/>
    <n v="16150"/>
    <n v="4000"/>
    <n v="12150"/>
    <n v="3.0375000000000001"/>
  </r>
  <r>
    <s v="ORD-2026-1148"/>
    <d v="2026-09-27T00:00:00"/>
    <x v="2"/>
    <x v="10"/>
    <x v="0"/>
    <x v="0"/>
    <s v="L. Esposito"/>
    <n v="5"/>
    <n v="114"/>
    <n v="75"/>
    <n v="570"/>
    <n v="375"/>
    <n v="195"/>
    <n v="0.52"/>
  </r>
  <r>
    <s v="ORD-2026-1149"/>
    <d v="2026-09-22T00:00:00"/>
    <x v="1"/>
    <x v="1"/>
    <x v="0"/>
    <x v="0"/>
    <s v="F. Russo"/>
    <n v="27"/>
    <n v="70"/>
    <n v="32"/>
    <n v="1890"/>
    <n v="864"/>
    <n v="1026"/>
    <n v="1.1875"/>
  </r>
  <r>
    <s v="ORD-2026-1150"/>
    <d v="2026-10-20T00:00:00"/>
    <x v="2"/>
    <x v="10"/>
    <x v="7"/>
    <x v="2"/>
    <s v="G. Bianchi"/>
    <n v="6"/>
    <n v="120"/>
    <n v="75"/>
    <n v="720"/>
    <n v="450"/>
    <n v="270"/>
    <n v="0.6"/>
  </r>
  <r>
    <s v="ORD-2026-1151"/>
    <d v="2026-08-16T00:00:00"/>
    <x v="0"/>
    <x v="2"/>
    <x v="1"/>
    <x v="1"/>
    <s v="F. Russo"/>
    <n v="38"/>
    <n v="60"/>
    <n v="15"/>
    <n v="2280"/>
    <n v="570"/>
    <n v="1710"/>
    <n v="3"/>
  </r>
  <r>
    <s v="ORD-2026-1152"/>
    <d v="2026-08-22T00:00:00"/>
    <x v="2"/>
    <x v="10"/>
    <x v="0"/>
    <x v="0"/>
    <s v="F. Russo"/>
    <n v="7"/>
    <n v="102"/>
    <n v="75"/>
    <n v="714"/>
    <n v="525"/>
    <n v="189"/>
    <n v="0.36"/>
  </r>
  <r>
    <s v="ORD-2026-1153"/>
    <d v="2026-07-05T00:00:00"/>
    <x v="1"/>
    <x v="8"/>
    <x v="1"/>
    <x v="1"/>
    <s v="L. Esposito"/>
    <n v="10"/>
    <n v="45"/>
    <n v="20"/>
    <n v="450"/>
    <n v="200"/>
    <n v="250"/>
    <n v="1.25"/>
  </r>
  <r>
    <s v="ORD-2026-1154"/>
    <d v="2026-07-18T00:00:00"/>
    <x v="2"/>
    <x v="11"/>
    <x v="2"/>
    <x v="2"/>
    <s v="E. Ferrari"/>
    <n v="34"/>
    <n v="55.25"/>
    <n v="28"/>
    <n v="1878.5"/>
    <n v="952"/>
    <n v="926.5"/>
    <n v="0.9732142857142857"/>
  </r>
  <r>
    <s v="ORD-2026-1155"/>
    <d v="2026-08-26T00:00:00"/>
    <x v="1"/>
    <x v="1"/>
    <x v="0"/>
    <x v="0"/>
    <s v="Non Disponibile"/>
    <n v="23"/>
    <n v="70"/>
    <n v="32"/>
    <n v="1610"/>
    <n v="736"/>
    <n v="874"/>
    <n v="1.1875"/>
  </r>
  <r>
    <s v="ORD-2026-1156"/>
    <d v="2026-06-25T00:00:00"/>
    <x v="0"/>
    <x v="0"/>
    <x v="0"/>
    <x v="0"/>
    <s v="L. Esposito"/>
    <n v="19"/>
    <n v="850"/>
    <n v="200"/>
    <n v="16150"/>
    <n v="3800"/>
    <n v="12350"/>
    <n v="3.25"/>
  </r>
  <r>
    <s v="ORD-2026-1157"/>
    <d v="2026-06-27T00:00:00"/>
    <x v="0"/>
    <x v="2"/>
    <x v="1"/>
    <x v="1"/>
    <s v="G. Bianchi"/>
    <n v="13"/>
    <n v="54"/>
    <n v="15"/>
    <n v="702"/>
    <n v="195"/>
    <n v="507"/>
    <n v="2.6"/>
  </r>
  <r>
    <s v="ORD-2026-1158"/>
    <d v="2026-09-16T00:00:00"/>
    <x v="2"/>
    <x v="10"/>
    <x v="1"/>
    <x v="1"/>
    <s v="F. Russo"/>
    <n v="20"/>
    <n v="108"/>
    <n v="75"/>
    <n v="2160"/>
    <n v="1500"/>
    <n v="660"/>
    <n v="0.44"/>
  </r>
  <r>
    <s v="ORD-2026-1159"/>
    <d v="2026-09-14T00:00:00"/>
    <x v="2"/>
    <x v="11"/>
    <x v="0"/>
    <x v="0"/>
    <s v="G. Bianchi"/>
    <n v="9"/>
    <n v="65"/>
    <n v="28"/>
    <n v="585"/>
    <n v="252"/>
    <n v="333"/>
    <n v="1.3214285714285714"/>
  </r>
  <r>
    <s v="ORD-2026-1160"/>
    <d v="2026-07-19T00:00:00"/>
    <x v="2"/>
    <x v="6"/>
    <x v="3"/>
    <x v="3"/>
    <s v="F. Russo"/>
    <n v="39"/>
    <n v="95"/>
    <n v="40"/>
    <n v="3705"/>
    <n v="1560"/>
    <n v="2145"/>
    <n v="1.375"/>
  </r>
  <r>
    <s v="ORD-2026-1161"/>
    <d v="2026-08-08T00:00:00"/>
    <x v="0"/>
    <x v="2"/>
    <x v="0"/>
    <x v="0"/>
    <s v="M. Rossi"/>
    <n v="22"/>
    <n v="51"/>
    <n v="15"/>
    <n v="1122"/>
    <n v="330"/>
    <n v="792"/>
    <n v="2.4"/>
  </r>
  <r>
    <s v="ORD-2026-1162"/>
    <d v="2026-10-16T00:00:00"/>
    <x v="2"/>
    <x v="11"/>
    <x v="0"/>
    <x v="0"/>
    <s v="G. Bianchi"/>
    <n v="35"/>
    <n v="55.25"/>
    <n v="28"/>
    <n v="1933.75"/>
    <n v="980"/>
    <n v="953.75"/>
    <n v="0.9732142857142857"/>
  </r>
  <r>
    <s v="ORD-2026-1163"/>
    <d v="2026-06-24T00:00:00"/>
    <x v="0"/>
    <x v="2"/>
    <x v="2"/>
    <x v="2"/>
    <s v="E. Ferrari"/>
    <n v="36"/>
    <n v="51"/>
    <n v="15"/>
    <n v="1836"/>
    <n v="540"/>
    <n v="1296"/>
    <n v="2.4"/>
  </r>
  <r>
    <s v="ORD-2026-1164"/>
    <d v="2026-10-01T00:00:00"/>
    <x v="0"/>
    <x v="5"/>
    <x v="1"/>
    <x v="1"/>
    <s v="F. Russo"/>
    <n v="5"/>
    <n v="450"/>
    <n v="120"/>
    <n v="2250"/>
    <n v="600"/>
    <n v="1650"/>
    <n v="2.75"/>
  </r>
  <r>
    <s v="ORD-2026-1165"/>
    <d v="2026-07-20T00:00:00"/>
    <x v="2"/>
    <x v="9"/>
    <x v="1"/>
    <x v="1"/>
    <s v="G. Bianchi"/>
    <n v="23"/>
    <n v="76.5"/>
    <n v="45"/>
    <n v="1759.5"/>
    <n v="1035"/>
    <n v="724.5"/>
    <n v="0.7"/>
  </r>
  <r>
    <s v="ORD-2026-1166"/>
    <d v="2026-06-30T00:00:00"/>
    <x v="1"/>
    <x v="1"/>
    <x v="0"/>
    <x v="0"/>
    <s v="E. Ferrari"/>
    <n v="29"/>
    <n v="70"/>
    <n v="32"/>
    <n v="2030"/>
    <n v="928"/>
    <n v="1102"/>
    <n v="1.1875"/>
  </r>
  <r>
    <s v="ORD-2026-1167"/>
    <d v="2026-07-25T00:00:00"/>
    <x v="2"/>
    <x v="6"/>
    <x v="3"/>
    <x v="3"/>
    <s v="L. Esposito"/>
    <n v="23"/>
    <n v="85.5"/>
    <n v="40"/>
    <n v="1966.5"/>
    <n v="920"/>
    <n v="1046.5"/>
    <n v="1.1375"/>
  </r>
  <r>
    <s v="ORD-2026-1168"/>
    <d v="2026-09-16T00:00:00"/>
    <x v="1"/>
    <x v="3"/>
    <x v="1"/>
    <x v="1"/>
    <s v="G. Bianchi"/>
    <n v="8"/>
    <n v="250"/>
    <n v="160"/>
    <n v="2000"/>
    <n v="1280"/>
    <n v="720"/>
    <n v="0.5625"/>
  </r>
  <r>
    <s v="ORD-2026-1169"/>
    <d v="2026-10-20T00:00:00"/>
    <x v="0"/>
    <x v="2"/>
    <x v="0"/>
    <x v="0"/>
    <s v="E. Ferrari"/>
    <n v="2"/>
    <n v="60"/>
    <n v="15"/>
    <n v="120"/>
    <n v="30"/>
    <n v="90"/>
    <n v="3"/>
  </r>
  <r>
    <s v="ORD-2026-1170"/>
    <d v="2026-07-25T00:00:00"/>
    <x v="1"/>
    <x v="8"/>
    <x v="2"/>
    <x v="2"/>
    <s v="E. Ferrari"/>
    <n v="42"/>
    <n v="40.5"/>
    <n v="20"/>
    <n v="1701"/>
    <n v="840"/>
    <n v="861"/>
    <n v="1.0249999999999999"/>
  </r>
  <r>
    <s v="ORD-2026-1171"/>
    <d v="2026-07-05T00:00:00"/>
    <x v="1"/>
    <x v="4"/>
    <x v="3"/>
    <x v="3"/>
    <s v="F. Russo"/>
    <n v="14"/>
    <n v="180"/>
    <n v="110"/>
    <n v="2520"/>
    <n v="1540"/>
    <n v="980"/>
    <n v="0.63636363636363635"/>
  </r>
  <r>
    <s v="ORD-2026-1172"/>
    <d v="2026-06-20T00:00:00"/>
    <x v="1"/>
    <x v="3"/>
    <x v="0"/>
    <x v="0"/>
    <s v="L. Esposito"/>
    <n v="33"/>
    <n v="225"/>
    <n v="160"/>
    <n v="7425"/>
    <n v="5280"/>
    <n v="2145"/>
    <n v="0.40625"/>
  </r>
  <r>
    <s v="ORD-2026-1173"/>
    <d v="2026-10-03T00:00:00"/>
    <x v="0"/>
    <x v="5"/>
    <x v="0"/>
    <x v="0"/>
    <s v="Non Disponibile"/>
    <n v="34"/>
    <n v="425"/>
    <n v="120"/>
    <n v="14450"/>
    <n v="4080"/>
    <n v="10370"/>
    <n v="2.5416666666666665"/>
  </r>
  <r>
    <s v="ORD-2026-1174"/>
    <d v="2026-06-12T00:00:00"/>
    <x v="2"/>
    <x v="6"/>
    <x v="2"/>
    <x v="2"/>
    <s v="Non Disponibile"/>
    <n v="32"/>
    <n v="80.75"/>
    <n v="40"/>
    <n v="2584"/>
    <n v="1280"/>
    <n v="1304"/>
    <n v="1.01875"/>
  </r>
  <r>
    <s v="ORD-2026-1175"/>
    <d v="2026-07-01T00:00:00"/>
    <x v="0"/>
    <x v="2"/>
    <x v="1"/>
    <x v="1"/>
    <s v="L. Esposito"/>
    <n v="11"/>
    <n v="60"/>
    <n v="15"/>
    <n v="660"/>
    <n v="165"/>
    <n v="495"/>
    <n v="3"/>
  </r>
  <r>
    <s v="ORD-2026-1176"/>
    <d v="2026-08-22T00:00:00"/>
    <x v="2"/>
    <x v="10"/>
    <x v="1"/>
    <x v="1"/>
    <s v="A. Verdi"/>
    <n v="7"/>
    <n v="108"/>
    <n v="75"/>
    <n v="756"/>
    <n v="525"/>
    <n v="231"/>
    <n v="0.44"/>
  </r>
  <r>
    <s v="ORD-2026-1177"/>
    <d v="2026-09-09T00:00:00"/>
    <x v="2"/>
    <x v="6"/>
    <x v="1"/>
    <x v="1"/>
    <s v="G. Bianchi"/>
    <n v="37"/>
    <n v="85.5"/>
    <n v="40"/>
    <n v="3163.5"/>
    <n v="1480"/>
    <n v="1683.5"/>
    <n v="1.1375"/>
  </r>
  <r>
    <s v="ORD-2026-1178"/>
    <d v="2026-08-31T00:00:00"/>
    <x v="0"/>
    <x v="5"/>
    <x v="0"/>
    <x v="0"/>
    <s v="L. Esposito"/>
    <n v="2"/>
    <n v="475"/>
    <n v="120"/>
    <n v="950"/>
    <n v="240"/>
    <n v="710"/>
    <n v="2.9583333333333335"/>
  </r>
  <r>
    <s v="ORD-2026-1179"/>
    <d v="2026-10-16T00:00:00"/>
    <x v="0"/>
    <x v="5"/>
    <x v="0"/>
    <x v="0"/>
    <s v="G. Bianchi"/>
    <n v="21"/>
    <n v="425"/>
    <n v="120"/>
    <n v="8925"/>
    <n v="2520"/>
    <n v="6405"/>
    <n v="2.5416666666666665"/>
  </r>
  <r>
    <s v="ORD-2026-1180"/>
    <d v="2026-10-17T00:00:00"/>
    <x v="0"/>
    <x v="5"/>
    <x v="2"/>
    <x v="2"/>
    <s v="G. Bianchi"/>
    <n v="18"/>
    <n v="500"/>
    <n v="120"/>
    <n v="9000"/>
    <n v="2160"/>
    <n v="6840"/>
    <n v="3.16666666666666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CA625-9D8F-468E-8D40-3532CCA4B9BC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3:E19" firstHeaderRow="0" firstDataRow="1" firstDataCol="1"/>
  <pivotFields count="14">
    <pivotField showAll="0"/>
    <pivotField numFmtId="14" showAll="0"/>
    <pivotField axis="axisRow" showAll="0">
      <items count="4">
        <item x="1"/>
        <item x="2"/>
        <item x="0"/>
        <item t="default"/>
      </items>
    </pivotField>
    <pivotField axis="axisRow" showAll="0" sortType="descending">
      <items count="13">
        <item x="2"/>
        <item x="9"/>
        <item x="0"/>
        <item x="8"/>
        <item x="7"/>
        <item x="3"/>
        <item x="4"/>
        <item x="10"/>
        <item x="5"/>
        <item x="1"/>
        <item x="6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numFmtId="1" showAll="0"/>
    <pivotField numFmtId="164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6" showAll="0"/>
  </pivotFields>
  <rowFields count="2">
    <field x="2"/>
    <field x="3"/>
  </rowFields>
  <rowItems count="16">
    <i>
      <x/>
    </i>
    <i r="1">
      <x v="6"/>
    </i>
    <i r="1">
      <x v="9"/>
    </i>
    <i r="1">
      <x v="5"/>
    </i>
    <i r="1">
      <x v="3"/>
    </i>
    <i>
      <x v="1"/>
    </i>
    <i r="1">
      <x v="10"/>
    </i>
    <i r="1">
      <x v="4"/>
    </i>
    <i r="1">
      <x v="7"/>
    </i>
    <i r="1">
      <x v="11"/>
    </i>
    <i r="1">
      <x v="1"/>
    </i>
    <i>
      <x v="2"/>
    </i>
    <i r="1">
      <x v="2"/>
    </i>
    <i r="1">
      <x v="8"/>
    </i>
    <i r="1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_REVENUE" fld="10" baseField="0" baseItem="0" numFmtId="165"/>
    <dataField name="Sum of TOT_COST" fld="11" baseField="0" baseItem="0" numFmtId="165"/>
    <dataField name="Sum of PROFIT MARGIN (eur)" fld="12" baseField="0" baseItem="0" numFmtId="165"/>
    <dataField name="Sum of PROFIT MARGIN (%)" fld="13" showDataAs="percentOfTotal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639F8-3261-45EC-A7D9-B7C690763E2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6:C31" firstHeaderRow="0" firstDataRow="1" firstDataCol="1"/>
  <pivotFields count="14">
    <pivotField showAll="0"/>
    <pivotField numFmtId="14" showAll="0"/>
    <pivotField showAll="0"/>
    <pivotField showAll="0" sortType="ascending">
      <items count="13">
        <item x="2"/>
        <item x="9"/>
        <item x="0"/>
        <item x="8"/>
        <item x="7"/>
        <item x="3"/>
        <item x="4"/>
        <item x="10"/>
        <item x="5"/>
        <item x="1"/>
        <item x="6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6"/>
        <item x="7"/>
        <item x="4"/>
        <item x="5"/>
        <item x="1"/>
        <item x="2"/>
        <item x="0"/>
        <item x="3"/>
        <item t="default"/>
      </items>
    </pivotField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4" showAll="0"/>
    <pivotField numFmtId="165" showAll="0"/>
    <pivotField numFmtId="165" showAll="0"/>
    <pivotField numFmtId="165" showAll="0"/>
    <pivotField dataField="1" numFmtId="165" showAll="0"/>
    <pivotField dataField="1" numFmtId="166" showAll="0"/>
  </pivotFields>
  <rowFields count="1">
    <field x="5"/>
  </rowFields>
  <rowItems count="5"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 (eur)" fld="12" baseField="0" baseItem="0" numFmtId="165"/>
    <dataField name="Average of PROFIT MARGIN (%)" fld="13" subtotal="average" showDataAs="percentOfTotal" baseField="3" baseItem="3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BF30C-7FE3-4637-A8F4-848341AD880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OTTI">
  <location ref="B2:D15" firstHeaderRow="0" firstDataRow="1" firstDataCol="1"/>
  <pivotFields count="14">
    <pivotField showAll="0"/>
    <pivotField numFmtId="14" showAll="0"/>
    <pivotField showAll="0"/>
    <pivotField axis="axisRow" showAll="0" sortType="ascending">
      <items count="13">
        <item x="2"/>
        <item x="9"/>
        <item x="0"/>
        <item x="8"/>
        <item x="7"/>
        <item x="3"/>
        <item x="4"/>
        <item x="10"/>
        <item x="5"/>
        <item x="1"/>
        <item x="6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64" showAll="0"/>
    <pivotField numFmtId="165" showAll="0"/>
    <pivotField numFmtId="165" showAll="0"/>
    <pivotField numFmtId="165" showAll="0"/>
    <pivotField dataField="1" numFmtId="165" showAll="0"/>
    <pivotField dataField="1" numFmtId="166" showAll="0"/>
  </pivotFields>
  <rowFields count="1">
    <field x="3"/>
  </rowFields>
  <rowItems count="13">
    <i>
      <x v="3"/>
    </i>
    <i>
      <x v="1"/>
    </i>
    <i>
      <x v="11"/>
    </i>
    <i>
      <x v="7"/>
    </i>
    <i>
      <x v="5"/>
    </i>
    <i>
      <x/>
    </i>
    <i>
      <x v="9"/>
    </i>
    <i>
      <x v="4"/>
    </i>
    <i>
      <x v="10"/>
    </i>
    <i>
      <x v="6"/>
    </i>
    <i>
      <x v="8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 (eur)" fld="12" baseField="0" baseItem="0" numFmtId="165"/>
    <dataField name="Average of PROFIT MARGIN (%)" fld="13" subtotal="average" showDataAs="percentOfTotal" baseField="3" baseItem="3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C114AE-C7A8-46D5-8A62-A5A97E98E209}" name="Table1" displayName="Table1" ref="A1:M181" totalsRowShown="0" headerRowDxfId="16" dataDxfId="15">
  <autoFilter ref="A1:M181" xr:uid="{58C114AE-C7A8-46D5-8A62-A5A97E98E209}"/>
  <tableColumns count="13">
    <tableColumn id="1" xr3:uid="{4FCE426E-CD40-4ADF-BB93-966F1EC81CD8}" name="ID_TRANSAZIONE" dataDxfId="14"/>
    <tableColumn id="2" xr3:uid="{9B8DB472-F751-4375-A0F9-3E874B9679B1}" name="DATA_ORDINE" dataDxfId="13"/>
    <tableColumn id="3" xr3:uid="{9093DB0A-DA53-42E0-BBEC-C4BA30BF97EA}" name="CATEGORIA" dataDxfId="12">
      <calculatedColumnFormula>_xlfn.XLOOKUP(D2, LISTA_PRODOTTI!$B$2:$B$13, LISTA_PRODOTTI!$A$2:$A$13)</calculatedColumnFormula>
    </tableColumn>
    <tableColumn id="4" xr3:uid="{35B2FB0D-45CF-4959-A5CD-3EE3671F8C86}" name="PRODOTTO" dataDxfId="11"/>
    <tableColumn id="6" xr3:uid="{6DF7515B-E523-488D-910C-BBB76185D097}" name="REGIONE" dataDxfId="10"/>
    <tableColumn id="7" xr3:uid="{19A9AD0C-1EC7-4A78-B020-0185752EF78D}" name="COMMERCIALE" dataDxfId="9"/>
    <tableColumn id="8" xr3:uid="{23E6A29F-0B24-4A62-8F34-C55FCD81575D}" name="QUANTITA" dataDxfId="8"/>
    <tableColumn id="9" xr3:uid="{6EAA9C71-CF4C-45D7-8584-975D4806D67A}" name="PREZZO_UNITARIO" dataDxfId="7"/>
    <tableColumn id="10" xr3:uid="{6283A24A-5129-4F8D-97D1-EEAD552173FA}" name="COSTO_UNITARIO" dataDxfId="6"/>
    <tableColumn id="11" xr3:uid="{DF249441-4D6C-4E58-A944-52A6CB6A0851}" name="TOT_REVENUE" dataDxfId="5">
      <calculatedColumnFormula>H2*G2</calculatedColumnFormula>
    </tableColumn>
    <tableColumn id="12" xr3:uid="{C6FB9511-653F-426D-BFA9-0FC8E0FFEF3B}" name="TOT_COST" dataDxfId="4">
      <calculatedColumnFormula>I2*G2</calculatedColumnFormula>
    </tableColumn>
    <tableColumn id="13" xr3:uid="{04D5775E-4788-487E-9052-5D6AA7378946}" name="PROFIT MARGIN (eur)" dataDxfId="3">
      <calculatedColumnFormula>J2-K2</calculatedColumnFormula>
    </tableColumn>
    <tableColumn id="14" xr3:uid="{C4C452B6-B332-4C3A-B80A-1045D1CC71B5}" name="PROFIT MARGIN (%)" dataDxfId="2" dataCellStyle="Per cent">
      <calculatedColumnFormula>IF(AND(J2&lt;&gt;0, K2&lt;&gt;0), Table1[[#This Row],[PROFIT MARGIN (eur)]]/K2, 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I187"/>
  <sheetViews>
    <sheetView workbookViewId="0">
      <selection activeCell="C18" sqref="C1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19</v>
      </c>
      <c r="H2">
        <v>850</v>
      </c>
      <c r="I2">
        <v>200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>
        <v>21</v>
      </c>
      <c r="H3">
        <v>70</v>
      </c>
      <c r="I3">
        <v>32</v>
      </c>
    </row>
    <row r="4" spans="1:9" x14ac:dyDescent="0.3">
      <c r="A4" t="s">
        <v>20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>
        <v>44</v>
      </c>
      <c r="H4">
        <v>54</v>
      </c>
      <c r="I4">
        <v>15</v>
      </c>
    </row>
    <row r="5" spans="1:9" x14ac:dyDescent="0.3">
      <c r="A5" t="s">
        <v>25</v>
      </c>
      <c r="B5" t="s">
        <v>26</v>
      </c>
      <c r="C5" t="s">
        <v>17</v>
      </c>
      <c r="D5" t="s">
        <v>18</v>
      </c>
      <c r="E5" t="s">
        <v>19</v>
      </c>
      <c r="F5" t="s">
        <v>14</v>
      </c>
      <c r="G5">
        <v>9</v>
      </c>
      <c r="H5">
        <v>70</v>
      </c>
      <c r="I5">
        <v>32</v>
      </c>
    </row>
    <row r="6" spans="1:9" x14ac:dyDescent="0.3">
      <c r="A6" t="s">
        <v>27</v>
      </c>
      <c r="B6" t="s">
        <v>28</v>
      </c>
      <c r="C6" t="s">
        <v>17</v>
      </c>
      <c r="D6" t="s">
        <v>29</v>
      </c>
      <c r="E6" t="s">
        <v>30</v>
      </c>
      <c r="F6" t="s">
        <v>31</v>
      </c>
      <c r="G6">
        <v>2</v>
      </c>
      <c r="H6">
        <v>237.5</v>
      </c>
      <c r="I6">
        <v>160</v>
      </c>
    </row>
    <row r="7" spans="1:9" x14ac:dyDescent="0.3">
      <c r="A7" t="s">
        <v>32</v>
      </c>
      <c r="B7" t="s">
        <v>33</v>
      </c>
      <c r="C7" t="s">
        <v>17</v>
      </c>
      <c r="D7" t="s">
        <v>34</v>
      </c>
      <c r="E7" t="s">
        <v>19</v>
      </c>
      <c r="G7">
        <v>23</v>
      </c>
      <c r="H7">
        <v>162</v>
      </c>
      <c r="I7">
        <v>110</v>
      </c>
    </row>
    <row r="8" spans="1:9" x14ac:dyDescent="0.3">
      <c r="A8" t="s">
        <v>35</v>
      </c>
      <c r="B8" t="s">
        <v>36</v>
      </c>
      <c r="C8" t="s">
        <v>17</v>
      </c>
      <c r="D8" t="s">
        <v>29</v>
      </c>
      <c r="E8" t="s">
        <v>30</v>
      </c>
      <c r="F8" t="s">
        <v>37</v>
      </c>
      <c r="G8">
        <v>41</v>
      </c>
      <c r="H8">
        <v>212.5</v>
      </c>
      <c r="I8">
        <v>160</v>
      </c>
    </row>
    <row r="9" spans="1:9" x14ac:dyDescent="0.3">
      <c r="A9" t="s">
        <v>38</v>
      </c>
      <c r="B9" t="s">
        <v>39</v>
      </c>
      <c r="C9" t="s">
        <v>11</v>
      </c>
      <c r="D9" t="s">
        <v>12</v>
      </c>
      <c r="E9" t="s">
        <v>30</v>
      </c>
      <c r="F9" t="s">
        <v>40</v>
      </c>
      <c r="G9">
        <v>35</v>
      </c>
      <c r="H9">
        <v>850</v>
      </c>
      <c r="I9">
        <v>200</v>
      </c>
    </row>
    <row r="10" spans="1:9" x14ac:dyDescent="0.3">
      <c r="A10" t="s">
        <v>41</v>
      </c>
      <c r="B10" t="s">
        <v>42</v>
      </c>
      <c r="C10" t="s">
        <v>17</v>
      </c>
      <c r="D10" t="s">
        <v>29</v>
      </c>
      <c r="E10" t="s">
        <v>43</v>
      </c>
      <c r="F10" t="s">
        <v>24</v>
      </c>
      <c r="G10">
        <v>24</v>
      </c>
      <c r="H10">
        <v>212.5</v>
      </c>
      <c r="I10">
        <v>160</v>
      </c>
    </row>
    <row r="11" spans="1:9" x14ac:dyDescent="0.3">
      <c r="A11" t="s">
        <v>44</v>
      </c>
      <c r="B11" t="s">
        <v>45</v>
      </c>
      <c r="C11" t="s">
        <v>11</v>
      </c>
      <c r="D11" t="s">
        <v>46</v>
      </c>
      <c r="E11" t="s">
        <v>47</v>
      </c>
      <c r="F11" t="s">
        <v>24</v>
      </c>
      <c r="H11">
        <v>500</v>
      </c>
      <c r="I11">
        <v>120</v>
      </c>
    </row>
    <row r="12" spans="1:9" x14ac:dyDescent="0.3">
      <c r="A12" t="s">
        <v>48</v>
      </c>
      <c r="B12" t="s">
        <v>49</v>
      </c>
      <c r="C12" t="s">
        <v>50</v>
      </c>
      <c r="D12" t="s">
        <v>51</v>
      </c>
      <c r="E12" t="s">
        <v>30</v>
      </c>
      <c r="F12" t="s">
        <v>24</v>
      </c>
      <c r="G12">
        <v>37</v>
      </c>
      <c r="H12">
        <v>80.75</v>
      </c>
      <c r="I12">
        <v>40</v>
      </c>
    </row>
    <row r="13" spans="1:9" x14ac:dyDescent="0.3">
      <c r="A13" t="s">
        <v>52</v>
      </c>
      <c r="B13" t="s">
        <v>53</v>
      </c>
      <c r="C13" t="s">
        <v>17</v>
      </c>
      <c r="D13" t="s">
        <v>18</v>
      </c>
      <c r="E13" t="s">
        <v>13</v>
      </c>
      <c r="F13" t="s">
        <v>24</v>
      </c>
      <c r="G13">
        <v>6</v>
      </c>
      <c r="H13">
        <v>63</v>
      </c>
      <c r="I13">
        <v>32</v>
      </c>
    </row>
    <row r="14" spans="1:9" x14ac:dyDescent="0.3">
      <c r="A14" t="s">
        <v>54</v>
      </c>
      <c r="B14" t="s">
        <v>55</v>
      </c>
      <c r="C14" t="s">
        <v>11</v>
      </c>
      <c r="D14" t="s">
        <v>46</v>
      </c>
      <c r="E14" t="s">
        <v>13</v>
      </c>
      <c r="G14">
        <v>27</v>
      </c>
      <c r="H14">
        <v>475</v>
      </c>
      <c r="I14">
        <v>120</v>
      </c>
    </row>
    <row r="15" spans="1:9" x14ac:dyDescent="0.3">
      <c r="A15" t="s">
        <v>56</v>
      </c>
      <c r="B15" t="s">
        <v>57</v>
      </c>
      <c r="C15" t="s">
        <v>50</v>
      </c>
      <c r="D15" t="s">
        <v>58</v>
      </c>
      <c r="E15" t="s">
        <v>30</v>
      </c>
      <c r="F15" t="s">
        <v>40</v>
      </c>
      <c r="G15">
        <v>32</v>
      </c>
      <c r="H15">
        <v>320</v>
      </c>
      <c r="I15">
        <v>210</v>
      </c>
    </row>
    <row r="16" spans="1:9" x14ac:dyDescent="0.3">
      <c r="A16" t="s">
        <v>59</v>
      </c>
      <c r="B16" t="s">
        <v>60</v>
      </c>
      <c r="D16" t="s">
        <v>61</v>
      </c>
      <c r="E16" t="s">
        <v>13</v>
      </c>
      <c r="F16" t="s">
        <v>62</v>
      </c>
      <c r="G16">
        <v>2</v>
      </c>
      <c r="H16">
        <v>45</v>
      </c>
      <c r="I16">
        <v>20</v>
      </c>
    </row>
    <row r="17" spans="1:9" x14ac:dyDescent="0.3">
      <c r="A17" t="s">
        <v>63</v>
      </c>
      <c r="B17" t="s">
        <v>64</v>
      </c>
      <c r="C17" t="s">
        <v>17</v>
      </c>
      <c r="D17" t="s">
        <v>29</v>
      </c>
      <c r="E17" t="s">
        <v>30</v>
      </c>
      <c r="F17" t="s">
        <v>24</v>
      </c>
      <c r="G17">
        <v>32</v>
      </c>
      <c r="H17">
        <v>225</v>
      </c>
      <c r="I17">
        <v>160</v>
      </c>
    </row>
    <row r="18" spans="1:9" x14ac:dyDescent="0.3">
      <c r="A18" t="s">
        <v>65</v>
      </c>
      <c r="B18" t="s">
        <v>66</v>
      </c>
      <c r="C18" t="s">
        <v>17</v>
      </c>
      <c r="D18" t="s">
        <v>34</v>
      </c>
      <c r="E18" t="s">
        <v>47</v>
      </c>
      <c r="F18" t="s">
        <v>62</v>
      </c>
      <c r="G18">
        <v>9</v>
      </c>
      <c r="H18">
        <v>162</v>
      </c>
      <c r="I18">
        <v>110</v>
      </c>
    </row>
    <row r="19" spans="1:9" x14ac:dyDescent="0.3">
      <c r="A19" t="s">
        <v>67</v>
      </c>
      <c r="B19" t="s">
        <v>68</v>
      </c>
      <c r="C19" t="s">
        <v>11</v>
      </c>
      <c r="D19" t="s">
        <v>12</v>
      </c>
      <c r="E19" t="s">
        <v>47</v>
      </c>
      <c r="F19" t="s">
        <v>31</v>
      </c>
      <c r="G19">
        <v>41</v>
      </c>
      <c r="H19">
        <v>850</v>
      </c>
      <c r="I19">
        <v>200</v>
      </c>
    </row>
    <row r="20" spans="1:9" x14ac:dyDescent="0.3">
      <c r="A20" t="s">
        <v>69</v>
      </c>
      <c r="B20" t="s">
        <v>70</v>
      </c>
      <c r="C20" t="s">
        <v>50</v>
      </c>
      <c r="D20" t="s">
        <v>71</v>
      </c>
      <c r="E20" t="s">
        <v>19</v>
      </c>
      <c r="F20" t="s">
        <v>14</v>
      </c>
      <c r="G20">
        <v>35</v>
      </c>
      <c r="H20">
        <v>76.5</v>
      </c>
      <c r="I20">
        <v>45</v>
      </c>
    </row>
    <row r="21" spans="1:9" x14ac:dyDescent="0.3">
      <c r="A21" t="s">
        <v>72</v>
      </c>
      <c r="B21" t="s">
        <v>73</v>
      </c>
      <c r="C21" t="s">
        <v>17</v>
      </c>
      <c r="D21" t="s">
        <v>18</v>
      </c>
      <c r="E21" t="s">
        <v>30</v>
      </c>
      <c r="F21" t="s">
        <v>40</v>
      </c>
      <c r="G21">
        <v>9</v>
      </c>
      <c r="H21">
        <v>70</v>
      </c>
      <c r="I21">
        <v>32</v>
      </c>
    </row>
    <row r="22" spans="1:9" x14ac:dyDescent="0.3">
      <c r="A22" t="s">
        <v>74</v>
      </c>
      <c r="B22" t="s">
        <v>75</v>
      </c>
      <c r="C22" t="s">
        <v>11</v>
      </c>
      <c r="D22" t="s">
        <v>46</v>
      </c>
      <c r="E22" t="s">
        <v>19</v>
      </c>
      <c r="F22" t="s">
        <v>31</v>
      </c>
      <c r="G22">
        <v>35</v>
      </c>
      <c r="H22">
        <v>475</v>
      </c>
      <c r="I22">
        <v>120</v>
      </c>
    </row>
    <row r="23" spans="1:9" x14ac:dyDescent="0.3">
      <c r="A23" t="s">
        <v>76</v>
      </c>
      <c r="B23" t="s">
        <v>77</v>
      </c>
      <c r="C23" t="s">
        <v>17</v>
      </c>
      <c r="D23" t="s">
        <v>61</v>
      </c>
      <c r="E23" t="s">
        <v>13</v>
      </c>
      <c r="F23" t="s">
        <v>31</v>
      </c>
      <c r="G23">
        <v>33</v>
      </c>
      <c r="H23">
        <v>40.5</v>
      </c>
      <c r="I23">
        <v>20</v>
      </c>
    </row>
    <row r="24" spans="1:9" x14ac:dyDescent="0.3">
      <c r="A24" t="s">
        <v>78</v>
      </c>
      <c r="B24" t="s">
        <v>79</v>
      </c>
      <c r="C24" t="s">
        <v>11</v>
      </c>
      <c r="D24" t="s">
        <v>46</v>
      </c>
      <c r="E24" t="s">
        <v>30</v>
      </c>
      <c r="F24" t="s">
        <v>31</v>
      </c>
      <c r="G24">
        <v>22</v>
      </c>
      <c r="H24">
        <v>475</v>
      </c>
      <c r="I24">
        <v>120</v>
      </c>
    </row>
    <row r="25" spans="1:9" x14ac:dyDescent="0.3">
      <c r="A25" t="s">
        <v>80</v>
      </c>
      <c r="B25" t="s">
        <v>81</v>
      </c>
      <c r="C25" t="s">
        <v>17</v>
      </c>
      <c r="D25" t="s">
        <v>29</v>
      </c>
      <c r="E25" t="s">
        <v>30</v>
      </c>
      <c r="F25" t="s">
        <v>62</v>
      </c>
      <c r="H25">
        <v>225</v>
      </c>
      <c r="I25">
        <v>160</v>
      </c>
    </row>
    <row r="26" spans="1:9" x14ac:dyDescent="0.3">
      <c r="A26" t="s">
        <v>82</v>
      </c>
      <c r="B26" t="s">
        <v>83</v>
      </c>
      <c r="C26" t="s">
        <v>17</v>
      </c>
      <c r="D26" t="s">
        <v>29</v>
      </c>
      <c r="E26" t="s">
        <v>19</v>
      </c>
      <c r="F26" t="s">
        <v>40</v>
      </c>
      <c r="G26">
        <v>41</v>
      </c>
      <c r="H26">
        <v>212.5</v>
      </c>
      <c r="I26">
        <v>160</v>
      </c>
    </row>
    <row r="27" spans="1:9" x14ac:dyDescent="0.3">
      <c r="A27" t="s">
        <v>84</v>
      </c>
      <c r="B27" t="s">
        <v>85</v>
      </c>
      <c r="C27" t="s">
        <v>11</v>
      </c>
      <c r="D27" t="s">
        <v>46</v>
      </c>
      <c r="E27" t="s">
        <v>47</v>
      </c>
      <c r="F27" t="s">
        <v>62</v>
      </c>
      <c r="G27">
        <v>3</v>
      </c>
      <c r="H27">
        <v>500</v>
      </c>
      <c r="I27">
        <v>120</v>
      </c>
    </row>
    <row r="28" spans="1:9" x14ac:dyDescent="0.3">
      <c r="A28" t="s">
        <v>86</v>
      </c>
      <c r="B28" t="s">
        <v>87</v>
      </c>
      <c r="C28" t="s">
        <v>17</v>
      </c>
      <c r="D28" t="s">
        <v>18</v>
      </c>
      <c r="E28" t="s">
        <v>47</v>
      </c>
      <c r="F28" t="s">
        <v>14</v>
      </c>
      <c r="G28">
        <v>27</v>
      </c>
      <c r="H28">
        <v>70</v>
      </c>
      <c r="I28">
        <v>32</v>
      </c>
    </row>
    <row r="29" spans="1:9" x14ac:dyDescent="0.3">
      <c r="A29" t="s">
        <v>88</v>
      </c>
      <c r="B29" t="s">
        <v>89</v>
      </c>
      <c r="D29" t="s">
        <v>46</v>
      </c>
      <c r="E29" t="s">
        <v>19</v>
      </c>
      <c r="F29" t="s">
        <v>40</v>
      </c>
      <c r="G29">
        <v>25</v>
      </c>
      <c r="H29">
        <v>425</v>
      </c>
      <c r="I29">
        <v>120</v>
      </c>
    </row>
    <row r="30" spans="1:9" x14ac:dyDescent="0.3">
      <c r="A30" t="s">
        <v>90</v>
      </c>
      <c r="B30" t="s">
        <v>91</v>
      </c>
      <c r="C30" t="s">
        <v>17</v>
      </c>
      <c r="D30" t="s">
        <v>18</v>
      </c>
      <c r="E30" t="s">
        <v>43</v>
      </c>
      <c r="F30" t="s">
        <v>31</v>
      </c>
      <c r="G30">
        <v>34</v>
      </c>
      <c r="H30">
        <v>70</v>
      </c>
      <c r="I30">
        <v>32</v>
      </c>
    </row>
    <row r="31" spans="1:9" x14ac:dyDescent="0.3">
      <c r="A31" t="s">
        <v>92</v>
      </c>
      <c r="B31" t="s">
        <v>49</v>
      </c>
      <c r="C31" t="s">
        <v>17</v>
      </c>
      <c r="D31" t="s">
        <v>34</v>
      </c>
      <c r="E31" t="s">
        <v>13</v>
      </c>
      <c r="F31" t="s">
        <v>31</v>
      </c>
      <c r="G31">
        <v>42</v>
      </c>
      <c r="H31">
        <v>171</v>
      </c>
      <c r="I31">
        <v>110</v>
      </c>
    </row>
    <row r="32" spans="1:9" x14ac:dyDescent="0.3">
      <c r="A32" t="s">
        <v>93</v>
      </c>
      <c r="B32" t="s">
        <v>81</v>
      </c>
      <c r="C32" t="s">
        <v>50</v>
      </c>
      <c r="D32" t="s">
        <v>51</v>
      </c>
      <c r="E32" t="s">
        <v>30</v>
      </c>
      <c r="F32" t="s">
        <v>31</v>
      </c>
      <c r="G32">
        <v>30</v>
      </c>
      <c r="H32">
        <v>95</v>
      </c>
      <c r="I32">
        <v>40</v>
      </c>
    </row>
    <row r="33" spans="1:9" x14ac:dyDescent="0.3">
      <c r="A33" t="s">
        <v>94</v>
      </c>
      <c r="B33" t="s">
        <v>95</v>
      </c>
      <c r="C33" t="s">
        <v>11</v>
      </c>
      <c r="D33" t="s">
        <v>46</v>
      </c>
      <c r="E33" t="s">
        <v>47</v>
      </c>
      <c r="F33" t="s">
        <v>31</v>
      </c>
      <c r="G33">
        <v>26</v>
      </c>
      <c r="H33">
        <v>425</v>
      </c>
      <c r="I33">
        <v>120</v>
      </c>
    </row>
    <row r="34" spans="1:9" x14ac:dyDescent="0.3">
      <c r="A34" t="s">
        <v>96</v>
      </c>
      <c r="B34" t="s">
        <v>97</v>
      </c>
      <c r="C34" t="s">
        <v>17</v>
      </c>
      <c r="D34" t="s">
        <v>34</v>
      </c>
      <c r="E34" t="s">
        <v>19</v>
      </c>
      <c r="F34" t="s">
        <v>24</v>
      </c>
      <c r="G34">
        <v>25</v>
      </c>
      <c r="H34">
        <v>153</v>
      </c>
      <c r="I34">
        <v>110</v>
      </c>
    </row>
    <row r="35" spans="1:9" x14ac:dyDescent="0.3">
      <c r="A35" t="s">
        <v>98</v>
      </c>
      <c r="B35" t="s">
        <v>99</v>
      </c>
      <c r="C35" t="s">
        <v>11</v>
      </c>
      <c r="D35" t="s">
        <v>12</v>
      </c>
      <c r="E35" t="s">
        <v>30</v>
      </c>
      <c r="G35">
        <v>37</v>
      </c>
      <c r="H35">
        <v>807.5</v>
      </c>
      <c r="I35">
        <v>200</v>
      </c>
    </row>
    <row r="36" spans="1:9" x14ac:dyDescent="0.3">
      <c r="A36" t="s">
        <v>100</v>
      </c>
      <c r="B36" t="s">
        <v>101</v>
      </c>
      <c r="C36" t="s">
        <v>50</v>
      </c>
      <c r="D36" t="s">
        <v>51</v>
      </c>
      <c r="E36" t="s">
        <v>102</v>
      </c>
      <c r="F36" t="s">
        <v>37</v>
      </c>
      <c r="G36">
        <v>39</v>
      </c>
      <c r="H36">
        <v>85.5</v>
      </c>
      <c r="I36">
        <v>40</v>
      </c>
    </row>
    <row r="37" spans="1:9" x14ac:dyDescent="0.3">
      <c r="A37" t="s">
        <v>103</v>
      </c>
      <c r="B37" t="s">
        <v>104</v>
      </c>
      <c r="C37" t="s">
        <v>17</v>
      </c>
      <c r="D37" t="s">
        <v>18</v>
      </c>
      <c r="E37" t="s">
        <v>19</v>
      </c>
      <c r="F37" t="s">
        <v>40</v>
      </c>
      <c r="G37">
        <v>32</v>
      </c>
      <c r="H37">
        <v>70</v>
      </c>
      <c r="I37">
        <v>32</v>
      </c>
    </row>
    <row r="38" spans="1:9" x14ac:dyDescent="0.3">
      <c r="A38" t="s">
        <v>105</v>
      </c>
      <c r="B38" t="s">
        <v>106</v>
      </c>
      <c r="C38" t="s">
        <v>50</v>
      </c>
      <c r="D38" t="s">
        <v>51</v>
      </c>
      <c r="E38" t="s">
        <v>47</v>
      </c>
      <c r="F38" t="s">
        <v>31</v>
      </c>
      <c r="G38">
        <v>24</v>
      </c>
      <c r="H38">
        <v>85.5</v>
      </c>
      <c r="I38">
        <v>40</v>
      </c>
    </row>
    <row r="39" spans="1:9" x14ac:dyDescent="0.3">
      <c r="A39" t="s">
        <v>107</v>
      </c>
      <c r="B39" t="s">
        <v>45</v>
      </c>
      <c r="C39" t="s">
        <v>50</v>
      </c>
      <c r="D39" t="s">
        <v>108</v>
      </c>
      <c r="E39" t="s">
        <v>47</v>
      </c>
      <c r="F39" t="s">
        <v>31</v>
      </c>
      <c r="G39">
        <v>29</v>
      </c>
      <c r="H39">
        <v>102</v>
      </c>
      <c r="I39">
        <v>75</v>
      </c>
    </row>
    <row r="40" spans="1:9" x14ac:dyDescent="0.3">
      <c r="A40" t="s">
        <v>109</v>
      </c>
      <c r="B40" t="s">
        <v>110</v>
      </c>
      <c r="C40" t="s">
        <v>17</v>
      </c>
      <c r="D40" t="s">
        <v>18</v>
      </c>
      <c r="E40" t="s">
        <v>19</v>
      </c>
      <c r="F40" t="s">
        <v>14</v>
      </c>
      <c r="G40">
        <v>34</v>
      </c>
      <c r="H40">
        <v>70</v>
      </c>
      <c r="I40">
        <v>32</v>
      </c>
    </row>
    <row r="41" spans="1:9" x14ac:dyDescent="0.3">
      <c r="A41" t="s">
        <v>111</v>
      </c>
      <c r="B41" t="s">
        <v>55</v>
      </c>
      <c r="C41" t="s">
        <v>50</v>
      </c>
      <c r="D41" t="s">
        <v>112</v>
      </c>
      <c r="E41" t="s">
        <v>30</v>
      </c>
      <c r="F41" t="s">
        <v>14</v>
      </c>
      <c r="G41">
        <v>37</v>
      </c>
      <c r="H41">
        <v>65</v>
      </c>
      <c r="I41">
        <v>28</v>
      </c>
    </row>
    <row r="42" spans="1:9" x14ac:dyDescent="0.3">
      <c r="A42" t="s">
        <v>113</v>
      </c>
      <c r="B42" t="s">
        <v>114</v>
      </c>
      <c r="C42" t="s">
        <v>11</v>
      </c>
      <c r="D42" t="s">
        <v>12</v>
      </c>
      <c r="E42" t="s">
        <v>13</v>
      </c>
      <c r="F42" t="s">
        <v>31</v>
      </c>
      <c r="G42">
        <v>13</v>
      </c>
      <c r="H42">
        <v>850</v>
      </c>
      <c r="I42">
        <v>200</v>
      </c>
    </row>
    <row r="43" spans="1:9" x14ac:dyDescent="0.3">
      <c r="A43" t="s">
        <v>115</v>
      </c>
      <c r="B43" t="s">
        <v>116</v>
      </c>
      <c r="C43" t="s">
        <v>17</v>
      </c>
      <c r="D43" t="s">
        <v>29</v>
      </c>
      <c r="E43" t="s">
        <v>13</v>
      </c>
      <c r="F43" t="s">
        <v>31</v>
      </c>
      <c r="G43">
        <v>12</v>
      </c>
      <c r="H43">
        <v>212.5</v>
      </c>
      <c r="I43">
        <v>160</v>
      </c>
    </row>
    <row r="44" spans="1:9" x14ac:dyDescent="0.3">
      <c r="A44" t="s">
        <v>117</v>
      </c>
      <c r="B44" t="s">
        <v>79</v>
      </c>
      <c r="C44" t="s">
        <v>17</v>
      </c>
      <c r="D44" t="s">
        <v>61</v>
      </c>
      <c r="E44" t="s">
        <v>118</v>
      </c>
      <c r="F44" t="s">
        <v>40</v>
      </c>
      <c r="G44">
        <v>12</v>
      </c>
      <c r="H44">
        <v>45</v>
      </c>
      <c r="I44">
        <v>20</v>
      </c>
    </row>
    <row r="45" spans="1:9" x14ac:dyDescent="0.3">
      <c r="A45" t="s">
        <v>119</v>
      </c>
      <c r="B45" t="s">
        <v>120</v>
      </c>
      <c r="C45" t="s">
        <v>50</v>
      </c>
      <c r="D45" t="s">
        <v>112</v>
      </c>
      <c r="E45" t="s">
        <v>47</v>
      </c>
      <c r="F45" t="s">
        <v>24</v>
      </c>
      <c r="G45">
        <v>31</v>
      </c>
      <c r="H45">
        <v>65</v>
      </c>
      <c r="I45">
        <v>28</v>
      </c>
    </row>
    <row r="46" spans="1:9" x14ac:dyDescent="0.3">
      <c r="A46" t="s">
        <v>121</v>
      </c>
      <c r="B46" t="s">
        <v>33</v>
      </c>
      <c r="C46" t="s">
        <v>50</v>
      </c>
      <c r="D46" t="s">
        <v>71</v>
      </c>
      <c r="E46" t="s">
        <v>13</v>
      </c>
      <c r="F46" t="s">
        <v>37</v>
      </c>
      <c r="G46">
        <v>38</v>
      </c>
      <c r="H46">
        <v>80.75</v>
      </c>
      <c r="I46">
        <v>45</v>
      </c>
    </row>
    <row r="47" spans="1:9" x14ac:dyDescent="0.3">
      <c r="A47" t="s">
        <v>122</v>
      </c>
      <c r="B47" t="s">
        <v>123</v>
      </c>
      <c r="C47" t="s">
        <v>50</v>
      </c>
      <c r="D47" t="s">
        <v>112</v>
      </c>
      <c r="E47" t="s">
        <v>30</v>
      </c>
      <c r="F47" t="s">
        <v>37</v>
      </c>
      <c r="G47">
        <v>1</v>
      </c>
      <c r="H47">
        <v>61.75</v>
      </c>
      <c r="I47">
        <v>28</v>
      </c>
    </row>
    <row r="48" spans="1:9" x14ac:dyDescent="0.3">
      <c r="A48" t="s">
        <v>124</v>
      </c>
      <c r="B48" t="s">
        <v>125</v>
      </c>
      <c r="C48" t="s">
        <v>11</v>
      </c>
      <c r="D48" t="s">
        <v>12</v>
      </c>
      <c r="E48" t="s">
        <v>19</v>
      </c>
      <c r="F48" t="s">
        <v>40</v>
      </c>
      <c r="G48">
        <v>10</v>
      </c>
      <c r="H48">
        <v>850</v>
      </c>
      <c r="I48">
        <v>200</v>
      </c>
    </row>
    <row r="49" spans="1:9" x14ac:dyDescent="0.3">
      <c r="A49" t="s">
        <v>126</v>
      </c>
      <c r="B49" t="s">
        <v>127</v>
      </c>
      <c r="C49" t="s">
        <v>50</v>
      </c>
      <c r="D49" t="s">
        <v>108</v>
      </c>
      <c r="E49" t="s">
        <v>47</v>
      </c>
      <c r="F49" t="s">
        <v>37</v>
      </c>
      <c r="G49">
        <v>28</v>
      </c>
      <c r="H49">
        <v>114</v>
      </c>
      <c r="I49">
        <v>75</v>
      </c>
    </row>
    <row r="50" spans="1:9" x14ac:dyDescent="0.3">
      <c r="A50" t="s">
        <v>128</v>
      </c>
      <c r="B50" t="s">
        <v>129</v>
      </c>
      <c r="C50" t="s">
        <v>50</v>
      </c>
      <c r="D50" t="s">
        <v>112</v>
      </c>
      <c r="E50" t="s">
        <v>118</v>
      </c>
      <c r="F50" t="s">
        <v>24</v>
      </c>
      <c r="G50">
        <v>21</v>
      </c>
      <c r="H50">
        <v>65</v>
      </c>
      <c r="I50">
        <v>28</v>
      </c>
    </row>
    <row r="51" spans="1:9" x14ac:dyDescent="0.3">
      <c r="A51" t="s">
        <v>130</v>
      </c>
      <c r="B51" t="s">
        <v>131</v>
      </c>
      <c r="C51" t="s">
        <v>50</v>
      </c>
      <c r="D51" t="s">
        <v>108</v>
      </c>
      <c r="E51" t="s">
        <v>19</v>
      </c>
      <c r="F51" t="s">
        <v>40</v>
      </c>
      <c r="G51">
        <v>16</v>
      </c>
      <c r="H51">
        <v>120</v>
      </c>
      <c r="I51">
        <v>75</v>
      </c>
    </row>
    <row r="52" spans="1:9" x14ac:dyDescent="0.3">
      <c r="A52" t="s">
        <v>132</v>
      </c>
      <c r="B52" t="s">
        <v>133</v>
      </c>
      <c r="C52" t="s">
        <v>50</v>
      </c>
      <c r="D52" t="s">
        <v>71</v>
      </c>
      <c r="E52" t="s">
        <v>19</v>
      </c>
      <c r="F52" t="s">
        <v>14</v>
      </c>
      <c r="G52">
        <v>28</v>
      </c>
      <c r="H52">
        <v>76.5</v>
      </c>
      <c r="I52">
        <v>45</v>
      </c>
    </row>
    <row r="53" spans="1:9" x14ac:dyDescent="0.3">
      <c r="A53" t="s">
        <v>134</v>
      </c>
      <c r="B53" t="s">
        <v>135</v>
      </c>
      <c r="C53" t="s">
        <v>50</v>
      </c>
      <c r="D53" t="s">
        <v>51</v>
      </c>
      <c r="E53" t="s">
        <v>30</v>
      </c>
      <c r="F53" t="s">
        <v>37</v>
      </c>
      <c r="G53">
        <v>13</v>
      </c>
      <c r="H53">
        <v>90.25</v>
      </c>
      <c r="I53">
        <v>40</v>
      </c>
    </row>
    <row r="54" spans="1:9" x14ac:dyDescent="0.3">
      <c r="A54" t="s">
        <v>136</v>
      </c>
      <c r="B54" t="s">
        <v>137</v>
      </c>
      <c r="C54" t="s">
        <v>17</v>
      </c>
      <c r="D54" t="s">
        <v>18</v>
      </c>
      <c r="E54" t="s">
        <v>47</v>
      </c>
      <c r="F54" t="s">
        <v>37</v>
      </c>
      <c r="G54">
        <v>5</v>
      </c>
      <c r="H54">
        <v>70</v>
      </c>
      <c r="I54">
        <v>32</v>
      </c>
    </row>
    <row r="55" spans="1:9" x14ac:dyDescent="0.3">
      <c r="A55" t="s">
        <v>138</v>
      </c>
      <c r="B55" t="s">
        <v>70</v>
      </c>
      <c r="C55" t="s">
        <v>11</v>
      </c>
      <c r="D55" t="s">
        <v>46</v>
      </c>
      <c r="E55" t="s">
        <v>47</v>
      </c>
      <c r="F55" t="s">
        <v>62</v>
      </c>
      <c r="G55">
        <v>13</v>
      </c>
      <c r="H55">
        <v>500</v>
      </c>
      <c r="I55">
        <v>120</v>
      </c>
    </row>
    <row r="56" spans="1:9" x14ac:dyDescent="0.3">
      <c r="A56" t="s">
        <v>139</v>
      </c>
      <c r="B56" t="s">
        <v>140</v>
      </c>
      <c r="C56" t="s">
        <v>50</v>
      </c>
      <c r="D56" t="s">
        <v>112</v>
      </c>
      <c r="E56" t="s">
        <v>19</v>
      </c>
      <c r="F56" t="s">
        <v>40</v>
      </c>
      <c r="G56">
        <v>23</v>
      </c>
      <c r="H56">
        <v>55.25</v>
      </c>
      <c r="I56">
        <v>28</v>
      </c>
    </row>
    <row r="57" spans="1:9" x14ac:dyDescent="0.3">
      <c r="A57" t="s">
        <v>141</v>
      </c>
      <c r="B57" t="s">
        <v>142</v>
      </c>
      <c r="C57" t="s">
        <v>17</v>
      </c>
      <c r="D57" t="s">
        <v>29</v>
      </c>
      <c r="E57" t="s">
        <v>13</v>
      </c>
      <c r="F57" t="s">
        <v>31</v>
      </c>
      <c r="G57">
        <v>1</v>
      </c>
      <c r="H57">
        <v>250</v>
      </c>
      <c r="I57">
        <v>160</v>
      </c>
    </row>
    <row r="58" spans="1:9" x14ac:dyDescent="0.3">
      <c r="A58" t="s">
        <v>143</v>
      </c>
      <c r="B58" t="s">
        <v>144</v>
      </c>
      <c r="C58" t="s">
        <v>17</v>
      </c>
      <c r="D58" t="s">
        <v>34</v>
      </c>
      <c r="E58" t="s">
        <v>47</v>
      </c>
      <c r="F58" t="s">
        <v>14</v>
      </c>
      <c r="G58">
        <v>12</v>
      </c>
      <c r="H58">
        <v>180</v>
      </c>
      <c r="I58">
        <v>110</v>
      </c>
    </row>
    <row r="59" spans="1:9" x14ac:dyDescent="0.3">
      <c r="A59" t="s">
        <v>145</v>
      </c>
      <c r="B59" t="s">
        <v>146</v>
      </c>
      <c r="C59" t="s">
        <v>11</v>
      </c>
      <c r="D59" t="s">
        <v>12</v>
      </c>
      <c r="E59" t="s">
        <v>13</v>
      </c>
      <c r="F59" t="s">
        <v>37</v>
      </c>
      <c r="G59">
        <v>14</v>
      </c>
      <c r="H59">
        <v>850</v>
      </c>
      <c r="I59">
        <v>200</v>
      </c>
    </row>
    <row r="60" spans="1:9" x14ac:dyDescent="0.3">
      <c r="A60" t="s">
        <v>147</v>
      </c>
      <c r="B60" t="s">
        <v>66</v>
      </c>
      <c r="C60" t="s">
        <v>17</v>
      </c>
      <c r="D60" t="s">
        <v>34</v>
      </c>
      <c r="E60" t="s">
        <v>47</v>
      </c>
      <c r="F60" t="s">
        <v>14</v>
      </c>
      <c r="G60">
        <v>38</v>
      </c>
      <c r="H60">
        <v>180</v>
      </c>
      <c r="I60">
        <v>110</v>
      </c>
    </row>
    <row r="61" spans="1:9" x14ac:dyDescent="0.3">
      <c r="A61" t="s">
        <v>148</v>
      </c>
      <c r="B61" t="s">
        <v>149</v>
      </c>
      <c r="C61" t="s">
        <v>50</v>
      </c>
      <c r="D61" t="s">
        <v>51</v>
      </c>
      <c r="E61" t="s">
        <v>13</v>
      </c>
      <c r="F61" t="s">
        <v>14</v>
      </c>
      <c r="G61">
        <v>17</v>
      </c>
      <c r="H61">
        <v>85.5</v>
      </c>
      <c r="I61">
        <v>40</v>
      </c>
    </row>
    <row r="62" spans="1:9" x14ac:dyDescent="0.3">
      <c r="A62" t="s">
        <v>150</v>
      </c>
      <c r="B62" t="s">
        <v>151</v>
      </c>
      <c r="C62" t="s">
        <v>11</v>
      </c>
      <c r="D62" t="s">
        <v>12</v>
      </c>
      <c r="E62" t="s">
        <v>47</v>
      </c>
      <c r="F62" t="s">
        <v>40</v>
      </c>
      <c r="G62">
        <v>16</v>
      </c>
      <c r="H62">
        <v>765</v>
      </c>
      <c r="I62">
        <v>200</v>
      </c>
    </row>
    <row r="63" spans="1:9" x14ac:dyDescent="0.3">
      <c r="A63" t="s">
        <v>152</v>
      </c>
      <c r="B63" t="s">
        <v>153</v>
      </c>
      <c r="D63" t="s">
        <v>71</v>
      </c>
      <c r="E63" t="s">
        <v>13</v>
      </c>
      <c r="F63" t="s">
        <v>37</v>
      </c>
      <c r="G63">
        <v>18</v>
      </c>
      <c r="H63">
        <v>76.5</v>
      </c>
      <c r="I63">
        <v>45</v>
      </c>
    </row>
    <row r="64" spans="1:9" x14ac:dyDescent="0.3">
      <c r="A64" t="s">
        <v>154</v>
      </c>
      <c r="B64" t="s">
        <v>155</v>
      </c>
      <c r="C64" t="s">
        <v>17</v>
      </c>
      <c r="D64" t="s">
        <v>34</v>
      </c>
      <c r="E64" t="s">
        <v>19</v>
      </c>
      <c r="F64" t="s">
        <v>14</v>
      </c>
      <c r="G64">
        <v>27</v>
      </c>
      <c r="H64">
        <v>180</v>
      </c>
      <c r="I64">
        <v>110</v>
      </c>
    </row>
    <row r="65" spans="1:9" x14ac:dyDescent="0.3">
      <c r="A65" t="s">
        <v>156</v>
      </c>
      <c r="B65" t="s">
        <v>157</v>
      </c>
      <c r="C65" t="s">
        <v>11</v>
      </c>
      <c r="D65" t="s">
        <v>46</v>
      </c>
      <c r="E65" t="s">
        <v>23</v>
      </c>
      <c r="F65" t="s">
        <v>62</v>
      </c>
      <c r="G65">
        <v>8</v>
      </c>
      <c r="H65">
        <v>500</v>
      </c>
      <c r="I65">
        <v>120</v>
      </c>
    </row>
    <row r="66" spans="1:9" x14ac:dyDescent="0.3">
      <c r="A66" t="s">
        <v>158</v>
      </c>
      <c r="B66" t="s">
        <v>157</v>
      </c>
      <c r="C66" t="s">
        <v>17</v>
      </c>
      <c r="D66" t="s">
        <v>18</v>
      </c>
      <c r="E66" t="s">
        <v>30</v>
      </c>
      <c r="F66" t="s">
        <v>14</v>
      </c>
      <c r="G66">
        <v>26</v>
      </c>
      <c r="H66">
        <v>66.5</v>
      </c>
      <c r="I66">
        <v>32</v>
      </c>
    </row>
    <row r="67" spans="1:9" x14ac:dyDescent="0.3">
      <c r="A67" t="s">
        <v>159</v>
      </c>
      <c r="B67" t="s">
        <v>160</v>
      </c>
      <c r="C67" t="s">
        <v>50</v>
      </c>
      <c r="D67" t="s">
        <v>71</v>
      </c>
      <c r="E67" t="s">
        <v>47</v>
      </c>
      <c r="F67" t="s">
        <v>40</v>
      </c>
      <c r="G67">
        <v>15</v>
      </c>
      <c r="H67">
        <v>85</v>
      </c>
      <c r="I67">
        <v>45</v>
      </c>
    </row>
    <row r="68" spans="1:9" x14ac:dyDescent="0.3">
      <c r="A68" t="s">
        <v>161</v>
      </c>
      <c r="B68" t="s">
        <v>162</v>
      </c>
      <c r="C68" t="s">
        <v>17</v>
      </c>
      <c r="D68" t="s">
        <v>34</v>
      </c>
      <c r="E68" t="s">
        <v>163</v>
      </c>
      <c r="F68" t="s">
        <v>37</v>
      </c>
      <c r="G68">
        <v>20</v>
      </c>
      <c r="H68">
        <v>180</v>
      </c>
      <c r="I68">
        <v>110</v>
      </c>
    </row>
    <row r="69" spans="1:9" x14ac:dyDescent="0.3">
      <c r="A69" t="s">
        <v>164</v>
      </c>
      <c r="B69" t="s">
        <v>165</v>
      </c>
      <c r="C69" t="s">
        <v>17</v>
      </c>
      <c r="D69" t="s">
        <v>34</v>
      </c>
      <c r="E69" t="s">
        <v>30</v>
      </c>
      <c r="F69" t="s">
        <v>62</v>
      </c>
      <c r="G69">
        <v>44</v>
      </c>
      <c r="H69">
        <v>180</v>
      </c>
      <c r="I69">
        <v>110</v>
      </c>
    </row>
    <row r="70" spans="1:9" x14ac:dyDescent="0.3">
      <c r="A70" t="s">
        <v>166</v>
      </c>
      <c r="B70" t="s">
        <v>167</v>
      </c>
      <c r="C70" t="s">
        <v>11</v>
      </c>
      <c r="D70" t="s">
        <v>46</v>
      </c>
      <c r="E70" t="s">
        <v>13</v>
      </c>
      <c r="F70" t="s">
        <v>62</v>
      </c>
      <c r="G70">
        <v>22</v>
      </c>
      <c r="H70">
        <v>425</v>
      </c>
      <c r="I70">
        <v>120</v>
      </c>
    </row>
    <row r="71" spans="1:9" x14ac:dyDescent="0.3">
      <c r="A71" t="s">
        <v>168</v>
      </c>
      <c r="B71" t="s">
        <v>169</v>
      </c>
      <c r="C71" t="s">
        <v>17</v>
      </c>
      <c r="D71" t="s">
        <v>61</v>
      </c>
      <c r="E71" t="s">
        <v>118</v>
      </c>
      <c r="F71" t="s">
        <v>40</v>
      </c>
      <c r="G71">
        <v>31</v>
      </c>
      <c r="H71">
        <v>38.25</v>
      </c>
      <c r="I71">
        <v>20</v>
      </c>
    </row>
    <row r="72" spans="1:9" x14ac:dyDescent="0.3">
      <c r="A72" t="s">
        <v>170</v>
      </c>
      <c r="B72" t="s">
        <v>55</v>
      </c>
      <c r="C72" t="s">
        <v>17</v>
      </c>
      <c r="D72" t="s">
        <v>34</v>
      </c>
      <c r="E72" t="s">
        <v>30</v>
      </c>
      <c r="F72" t="s">
        <v>24</v>
      </c>
      <c r="G72">
        <v>2</v>
      </c>
      <c r="H72">
        <v>180</v>
      </c>
      <c r="I72">
        <v>110</v>
      </c>
    </row>
    <row r="73" spans="1:9" x14ac:dyDescent="0.3">
      <c r="A73" t="s">
        <v>171</v>
      </c>
      <c r="B73" t="s">
        <v>172</v>
      </c>
      <c r="C73" t="s">
        <v>11</v>
      </c>
      <c r="D73" t="s">
        <v>46</v>
      </c>
      <c r="E73" t="s">
        <v>30</v>
      </c>
      <c r="F73" t="s">
        <v>62</v>
      </c>
      <c r="G73">
        <v>26</v>
      </c>
      <c r="H73">
        <v>475</v>
      </c>
      <c r="I73">
        <v>120</v>
      </c>
    </row>
    <row r="74" spans="1:9" x14ac:dyDescent="0.3">
      <c r="A74" t="s">
        <v>173</v>
      </c>
      <c r="B74" t="s">
        <v>174</v>
      </c>
      <c r="C74" t="s">
        <v>11</v>
      </c>
      <c r="D74" t="s">
        <v>46</v>
      </c>
      <c r="E74" t="s">
        <v>30</v>
      </c>
      <c r="F74" t="s">
        <v>14</v>
      </c>
      <c r="G74">
        <v>5</v>
      </c>
      <c r="H74">
        <v>500</v>
      </c>
      <c r="I74">
        <v>120</v>
      </c>
    </row>
    <row r="75" spans="1:9" x14ac:dyDescent="0.3">
      <c r="A75" t="s">
        <v>175</v>
      </c>
      <c r="B75" t="s">
        <v>176</v>
      </c>
      <c r="C75" t="s">
        <v>50</v>
      </c>
      <c r="D75" t="s">
        <v>108</v>
      </c>
      <c r="E75" t="s">
        <v>177</v>
      </c>
      <c r="F75" t="s">
        <v>24</v>
      </c>
      <c r="G75">
        <v>35</v>
      </c>
      <c r="H75">
        <v>114</v>
      </c>
      <c r="I75">
        <v>75</v>
      </c>
    </row>
    <row r="76" spans="1:9" x14ac:dyDescent="0.3">
      <c r="A76" t="s">
        <v>178</v>
      </c>
      <c r="B76" t="s">
        <v>179</v>
      </c>
      <c r="C76" t="s">
        <v>11</v>
      </c>
      <c r="D76" t="s">
        <v>46</v>
      </c>
      <c r="E76" t="s">
        <v>47</v>
      </c>
      <c r="G76">
        <v>1</v>
      </c>
      <c r="H76">
        <v>475</v>
      </c>
      <c r="I76">
        <v>120</v>
      </c>
    </row>
    <row r="77" spans="1:9" x14ac:dyDescent="0.3">
      <c r="A77" t="s">
        <v>180</v>
      </c>
      <c r="B77" t="s">
        <v>181</v>
      </c>
      <c r="C77" t="s">
        <v>11</v>
      </c>
      <c r="D77" t="s">
        <v>46</v>
      </c>
      <c r="E77" t="s">
        <v>47</v>
      </c>
      <c r="F77" t="s">
        <v>40</v>
      </c>
      <c r="G77">
        <v>14</v>
      </c>
      <c r="H77">
        <v>500</v>
      </c>
      <c r="I77">
        <v>120</v>
      </c>
    </row>
    <row r="78" spans="1:9" x14ac:dyDescent="0.3">
      <c r="A78" t="s">
        <v>182</v>
      </c>
      <c r="B78" t="s">
        <v>33</v>
      </c>
      <c r="C78" t="s">
        <v>11</v>
      </c>
      <c r="D78" t="s">
        <v>22</v>
      </c>
      <c r="E78" t="s">
        <v>13</v>
      </c>
      <c r="F78" t="s">
        <v>24</v>
      </c>
      <c r="G78">
        <v>33</v>
      </c>
      <c r="H78">
        <v>60</v>
      </c>
      <c r="I78">
        <v>15</v>
      </c>
    </row>
    <row r="79" spans="1:9" x14ac:dyDescent="0.3">
      <c r="A79" t="s">
        <v>183</v>
      </c>
      <c r="B79" t="s">
        <v>184</v>
      </c>
      <c r="C79" t="s">
        <v>11</v>
      </c>
      <c r="D79" t="s">
        <v>12</v>
      </c>
      <c r="E79" t="s">
        <v>185</v>
      </c>
      <c r="F79" t="s">
        <v>40</v>
      </c>
      <c r="G79">
        <v>7</v>
      </c>
      <c r="H79">
        <v>850</v>
      </c>
      <c r="I79">
        <v>200</v>
      </c>
    </row>
    <row r="80" spans="1:9" x14ac:dyDescent="0.3">
      <c r="A80" t="s">
        <v>186</v>
      </c>
      <c r="B80" t="s">
        <v>187</v>
      </c>
      <c r="C80" t="s">
        <v>11</v>
      </c>
      <c r="D80" t="s">
        <v>12</v>
      </c>
      <c r="E80" t="s">
        <v>19</v>
      </c>
      <c r="F80" t="s">
        <v>62</v>
      </c>
      <c r="G80">
        <v>33</v>
      </c>
      <c r="H80">
        <v>722.5</v>
      </c>
      <c r="I80">
        <v>200</v>
      </c>
    </row>
    <row r="81" spans="1:9" x14ac:dyDescent="0.3">
      <c r="A81" t="s">
        <v>188</v>
      </c>
      <c r="B81" t="s">
        <v>189</v>
      </c>
      <c r="C81" t="s">
        <v>50</v>
      </c>
      <c r="D81" t="s">
        <v>58</v>
      </c>
      <c r="E81" t="s">
        <v>19</v>
      </c>
      <c r="F81" t="s">
        <v>24</v>
      </c>
      <c r="G81">
        <v>13</v>
      </c>
      <c r="H81">
        <v>288</v>
      </c>
      <c r="I81">
        <v>210</v>
      </c>
    </row>
    <row r="82" spans="1:9" x14ac:dyDescent="0.3">
      <c r="A82" t="s">
        <v>190</v>
      </c>
      <c r="B82" t="s">
        <v>191</v>
      </c>
      <c r="C82" t="s">
        <v>11</v>
      </c>
      <c r="D82" t="s">
        <v>46</v>
      </c>
      <c r="E82" t="s">
        <v>47</v>
      </c>
      <c r="F82" t="s">
        <v>40</v>
      </c>
      <c r="G82">
        <v>36</v>
      </c>
      <c r="H82">
        <v>450</v>
      </c>
      <c r="I82">
        <v>120</v>
      </c>
    </row>
    <row r="83" spans="1:9" x14ac:dyDescent="0.3">
      <c r="A83" t="s">
        <v>192</v>
      </c>
      <c r="B83" t="s">
        <v>193</v>
      </c>
      <c r="C83" t="s">
        <v>17</v>
      </c>
      <c r="D83" t="s">
        <v>18</v>
      </c>
      <c r="E83" t="s">
        <v>19</v>
      </c>
      <c r="F83" t="s">
        <v>24</v>
      </c>
      <c r="G83">
        <v>43</v>
      </c>
      <c r="H83">
        <v>63</v>
      </c>
      <c r="I83">
        <v>32</v>
      </c>
    </row>
    <row r="84" spans="1:9" x14ac:dyDescent="0.3">
      <c r="A84" t="s">
        <v>194</v>
      </c>
      <c r="B84" t="s">
        <v>165</v>
      </c>
      <c r="C84" t="s">
        <v>11</v>
      </c>
      <c r="D84" t="s">
        <v>46</v>
      </c>
      <c r="E84" t="s">
        <v>30</v>
      </c>
      <c r="F84" t="s">
        <v>14</v>
      </c>
      <c r="G84">
        <v>28</v>
      </c>
      <c r="H84">
        <v>500</v>
      </c>
      <c r="I84">
        <v>120</v>
      </c>
    </row>
    <row r="85" spans="1:9" x14ac:dyDescent="0.3">
      <c r="A85" t="s">
        <v>195</v>
      </c>
      <c r="B85" t="s">
        <v>196</v>
      </c>
      <c r="C85" t="s">
        <v>11</v>
      </c>
      <c r="D85" t="s">
        <v>46</v>
      </c>
      <c r="E85" t="s">
        <v>163</v>
      </c>
      <c r="F85" t="s">
        <v>14</v>
      </c>
      <c r="G85">
        <v>36</v>
      </c>
      <c r="H85">
        <v>475</v>
      </c>
      <c r="I85">
        <v>120</v>
      </c>
    </row>
    <row r="86" spans="1:9" x14ac:dyDescent="0.3">
      <c r="A86" t="s">
        <v>197</v>
      </c>
      <c r="B86" t="s">
        <v>198</v>
      </c>
      <c r="C86" t="s">
        <v>50</v>
      </c>
      <c r="D86" t="s">
        <v>108</v>
      </c>
      <c r="E86" t="s">
        <v>19</v>
      </c>
      <c r="F86" t="s">
        <v>31</v>
      </c>
      <c r="G86">
        <v>26</v>
      </c>
      <c r="H86">
        <v>120</v>
      </c>
      <c r="I86">
        <v>75</v>
      </c>
    </row>
    <row r="87" spans="1:9" x14ac:dyDescent="0.3">
      <c r="A87" t="s">
        <v>199</v>
      </c>
      <c r="B87" t="s">
        <v>66</v>
      </c>
      <c r="C87" t="s">
        <v>17</v>
      </c>
      <c r="D87" t="s">
        <v>61</v>
      </c>
      <c r="E87" t="s">
        <v>13</v>
      </c>
      <c r="F87" t="s">
        <v>40</v>
      </c>
      <c r="G87">
        <v>44</v>
      </c>
      <c r="H87">
        <v>45</v>
      </c>
      <c r="I87">
        <v>20</v>
      </c>
    </row>
    <row r="88" spans="1:9" x14ac:dyDescent="0.3">
      <c r="A88" t="s">
        <v>200</v>
      </c>
      <c r="B88" t="s">
        <v>39</v>
      </c>
      <c r="C88" t="s">
        <v>50</v>
      </c>
      <c r="D88" t="s">
        <v>58</v>
      </c>
      <c r="E88" t="s">
        <v>30</v>
      </c>
      <c r="F88" t="s">
        <v>14</v>
      </c>
      <c r="G88">
        <v>21</v>
      </c>
      <c r="H88">
        <v>320</v>
      </c>
      <c r="I88">
        <v>210</v>
      </c>
    </row>
    <row r="89" spans="1:9" x14ac:dyDescent="0.3">
      <c r="A89" t="s">
        <v>201</v>
      </c>
      <c r="B89" t="s">
        <v>202</v>
      </c>
      <c r="C89" t="s">
        <v>11</v>
      </c>
      <c r="D89" t="s">
        <v>46</v>
      </c>
      <c r="E89" t="s">
        <v>47</v>
      </c>
      <c r="F89" t="s">
        <v>62</v>
      </c>
      <c r="G89">
        <v>32</v>
      </c>
      <c r="H89">
        <v>425</v>
      </c>
      <c r="I89">
        <v>120</v>
      </c>
    </row>
    <row r="90" spans="1:9" x14ac:dyDescent="0.3">
      <c r="A90" t="s">
        <v>203</v>
      </c>
      <c r="B90" t="s">
        <v>204</v>
      </c>
      <c r="C90" t="s">
        <v>50</v>
      </c>
      <c r="D90" t="s">
        <v>108</v>
      </c>
      <c r="E90" t="s">
        <v>102</v>
      </c>
      <c r="F90" t="s">
        <v>40</v>
      </c>
      <c r="G90">
        <v>18</v>
      </c>
      <c r="H90">
        <v>120</v>
      </c>
      <c r="I90">
        <v>75</v>
      </c>
    </row>
    <row r="91" spans="1:9" x14ac:dyDescent="0.3">
      <c r="A91" t="s">
        <v>205</v>
      </c>
      <c r="B91" t="s">
        <v>206</v>
      </c>
      <c r="C91" t="s">
        <v>17</v>
      </c>
      <c r="D91" t="s">
        <v>61</v>
      </c>
      <c r="E91" t="s">
        <v>13</v>
      </c>
      <c r="F91" t="s">
        <v>37</v>
      </c>
      <c r="G91">
        <v>39</v>
      </c>
      <c r="H91">
        <v>45</v>
      </c>
      <c r="I91">
        <v>20</v>
      </c>
    </row>
    <row r="92" spans="1:9" x14ac:dyDescent="0.3">
      <c r="A92" t="s">
        <v>207</v>
      </c>
      <c r="B92" t="s">
        <v>95</v>
      </c>
      <c r="C92" t="s">
        <v>11</v>
      </c>
      <c r="D92" t="s">
        <v>22</v>
      </c>
      <c r="E92" t="s">
        <v>30</v>
      </c>
      <c r="F92" t="s">
        <v>62</v>
      </c>
      <c r="G92">
        <v>3</v>
      </c>
      <c r="H92">
        <v>60</v>
      </c>
      <c r="I92">
        <v>15</v>
      </c>
    </row>
    <row r="93" spans="1:9" x14ac:dyDescent="0.3">
      <c r="A93" t="s">
        <v>208</v>
      </c>
      <c r="B93" t="s">
        <v>209</v>
      </c>
      <c r="C93" t="s">
        <v>11</v>
      </c>
      <c r="D93" t="s">
        <v>22</v>
      </c>
      <c r="E93" t="s">
        <v>30</v>
      </c>
      <c r="F93" t="s">
        <v>24</v>
      </c>
      <c r="G93">
        <v>32</v>
      </c>
      <c r="H93">
        <v>57</v>
      </c>
      <c r="I93">
        <v>15</v>
      </c>
    </row>
    <row r="94" spans="1:9" x14ac:dyDescent="0.3">
      <c r="A94" t="s">
        <v>210</v>
      </c>
      <c r="B94" t="s">
        <v>211</v>
      </c>
      <c r="C94" t="s">
        <v>17</v>
      </c>
      <c r="D94" t="s">
        <v>61</v>
      </c>
      <c r="E94" t="s">
        <v>13</v>
      </c>
      <c r="F94" t="s">
        <v>37</v>
      </c>
      <c r="G94">
        <v>19</v>
      </c>
      <c r="H94">
        <v>38.25</v>
      </c>
      <c r="I94">
        <v>20</v>
      </c>
    </row>
    <row r="95" spans="1:9" x14ac:dyDescent="0.3">
      <c r="A95" t="s">
        <v>212</v>
      </c>
      <c r="B95" t="s">
        <v>213</v>
      </c>
      <c r="C95" t="s">
        <v>11</v>
      </c>
      <c r="D95" t="s">
        <v>22</v>
      </c>
      <c r="E95" t="s">
        <v>47</v>
      </c>
      <c r="F95" t="s">
        <v>31</v>
      </c>
      <c r="G95">
        <v>20</v>
      </c>
      <c r="H95">
        <v>51</v>
      </c>
      <c r="I95">
        <v>15</v>
      </c>
    </row>
    <row r="96" spans="1:9" x14ac:dyDescent="0.3">
      <c r="A96" t="s">
        <v>214</v>
      </c>
      <c r="B96" t="s">
        <v>215</v>
      </c>
      <c r="C96" t="s">
        <v>17</v>
      </c>
      <c r="D96" t="s">
        <v>34</v>
      </c>
      <c r="E96" t="s">
        <v>13</v>
      </c>
      <c r="F96" t="s">
        <v>14</v>
      </c>
      <c r="G96">
        <v>30</v>
      </c>
      <c r="H96">
        <v>180</v>
      </c>
      <c r="I96">
        <v>110</v>
      </c>
    </row>
    <row r="97" spans="1:9" x14ac:dyDescent="0.3">
      <c r="A97" t="s">
        <v>216</v>
      </c>
      <c r="B97" t="s">
        <v>198</v>
      </c>
      <c r="C97" t="s">
        <v>50</v>
      </c>
      <c r="D97" t="s">
        <v>71</v>
      </c>
      <c r="E97" t="s">
        <v>47</v>
      </c>
      <c r="F97" t="s">
        <v>62</v>
      </c>
      <c r="G97">
        <v>22</v>
      </c>
      <c r="H97">
        <v>85</v>
      </c>
      <c r="I97">
        <v>45</v>
      </c>
    </row>
    <row r="98" spans="1:9" x14ac:dyDescent="0.3">
      <c r="A98" t="s">
        <v>217</v>
      </c>
      <c r="B98" t="s">
        <v>218</v>
      </c>
      <c r="C98" t="s">
        <v>11</v>
      </c>
      <c r="D98" t="s">
        <v>22</v>
      </c>
      <c r="E98" t="s">
        <v>13</v>
      </c>
      <c r="F98" t="s">
        <v>14</v>
      </c>
      <c r="G98">
        <v>36</v>
      </c>
      <c r="H98">
        <v>60</v>
      </c>
      <c r="I98">
        <v>15</v>
      </c>
    </row>
    <row r="99" spans="1:9" x14ac:dyDescent="0.3">
      <c r="A99" t="s">
        <v>219</v>
      </c>
      <c r="B99" t="s">
        <v>220</v>
      </c>
      <c r="C99" t="s">
        <v>50</v>
      </c>
      <c r="D99" t="s">
        <v>71</v>
      </c>
      <c r="E99" t="s">
        <v>177</v>
      </c>
      <c r="F99" t="s">
        <v>62</v>
      </c>
      <c r="G99">
        <v>31</v>
      </c>
      <c r="H99">
        <v>80.75</v>
      </c>
      <c r="I99">
        <v>45</v>
      </c>
    </row>
    <row r="100" spans="1:9" x14ac:dyDescent="0.3">
      <c r="A100" t="s">
        <v>221</v>
      </c>
      <c r="B100" t="s">
        <v>222</v>
      </c>
      <c r="C100" t="s">
        <v>50</v>
      </c>
      <c r="D100" t="s">
        <v>108</v>
      </c>
      <c r="E100" t="s">
        <v>30</v>
      </c>
      <c r="F100" t="s">
        <v>24</v>
      </c>
      <c r="G100">
        <v>2</v>
      </c>
      <c r="H100">
        <v>108</v>
      </c>
      <c r="I100">
        <v>75</v>
      </c>
    </row>
    <row r="101" spans="1:9" x14ac:dyDescent="0.3">
      <c r="A101" t="s">
        <v>223</v>
      </c>
      <c r="B101" t="s">
        <v>224</v>
      </c>
      <c r="C101" t="s">
        <v>50</v>
      </c>
      <c r="D101" t="s">
        <v>58</v>
      </c>
      <c r="E101" t="s">
        <v>30</v>
      </c>
      <c r="F101" t="s">
        <v>31</v>
      </c>
      <c r="G101">
        <v>39</v>
      </c>
      <c r="H101">
        <v>320</v>
      </c>
      <c r="I101">
        <v>210</v>
      </c>
    </row>
    <row r="102" spans="1:9" x14ac:dyDescent="0.3">
      <c r="A102" t="s">
        <v>225</v>
      </c>
      <c r="B102" t="s">
        <v>99</v>
      </c>
      <c r="C102" t="s">
        <v>17</v>
      </c>
      <c r="D102" t="s">
        <v>18</v>
      </c>
      <c r="E102" t="s">
        <v>47</v>
      </c>
      <c r="F102" t="s">
        <v>40</v>
      </c>
      <c r="G102">
        <v>43</v>
      </c>
      <c r="H102">
        <v>70</v>
      </c>
      <c r="I102">
        <v>32</v>
      </c>
    </row>
    <row r="103" spans="1:9" x14ac:dyDescent="0.3">
      <c r="A103" t="s">
        <v>226</v>
      </c>
      <c r="B103" t="s">
        <v>227</v>
      </c>
      <c r="C103" t="s">
        <v>50</v>
      </c>
      <c r="D103" t="s">
        <v>108</v>
      </c>
      <c r="E103" t="s">
        <v>47</v>
      </c>
      <c r="F103" t="s">
        <v>14</v>
      </c>
      <c r="G103">
        <v>25</v>
      </c>
      <c r="H103">
        <v>120</v>
      </c>
      <c r="I103">
        <v>75</v>
      </c>
    </row>
    <row r="104" spans="1:9" x14ac:dyDescent="0.3">
      <c r="A104" t="s">
        <v>228</v>
      </c>
      <c r="B104" t="s">
        <v>133</v>
      </c>
      <c r="C104" t="s">
        <v>11</v>
      </c>
      <c r="D104" t="s">
        <v>46</v>
      </c>
      <c r="E104" t="s">
        <v>43</v>
      </c>
      <c r="F104" t="s">
        <v>62</v>
      </c>
      <c r="G104">
        <v>17</v>
      </c>
      <c r="H104">
        <v>500</v>
      </c>
      <c r="I104">
        <v>120</v>
      </c>
    </row>
    <row r="105" spans="1:9" x14ac:dyDescent="0.3">
      <c r="A105" t="s">
        <v>229</v>
      </c>
      <c r="B105" t="s">
        <v>106</v>
      </c>
      <c r="C105" t="s">
        <v>11</v>
      </c>
      <c r="D105" t="s">
        <v>46</v>
      </c>
      <c r="E105" t="s">
        <v>13</v>
      </c>
      <c r="F105" t="s">
        <v>24</v>
      </c>
      <c r="G105">
        <v>16</v>
      </c>
      <c r="H105">
        <v>475</v>
      </c>
      <c r="I105">
        <v>120</v>
      </c>
    </row>
    <row r="106" spans="1:9" x14ac:dyDescent="0.3">
      <c r="A106" t="s">
        <v>230</v>
      </c>
      <c r="B106" t="s">
        <v>231</v>
      </c>
      <c r="C106" t="s">
        <v>50</v>
      </c>
      <c r="D106" t="s">
        <v>71</v>
      </c>
      <c r="E106" t="s">
        <v>102</v>
      </c>
      <c r="F106" t="s">
        <v>62</v>
      </c>
      <c r="G106">
        <v>23</v>
      </c>
      <c r="H106">
        <v>85</v>
      </c>
      <c r="I106">
        <v>45</v>
      </c>
    </row>
    <row r="107" spans="1:9" x14ac:dyDescent="0.3">
      <c r="A107" t="s">
        <v>232</v>
      </c>
      <c r="B107" t="s">
        <v>129</v>
      </c>
      <c r="C107" t="s">
        <v>11</v>
      </c>
      <c r="D107" t="s">
        <v>22</v>
      </c>
      <c r="E107" t="s">
        <v>13</v>
      </c>
      <c r="F107" t="s">
        <v>14</v>
      </c>
      <c r="G107">
        <v>31</v>
      </c>
      <c r="H107">
        <v>57</v>
      </c>
      <c r="I107">
        <v>15</v>
      </c>
    </row>
    <row r="108" spans="1:9" x14ac:dyDescent="0.3">
      <c r="A108" t="s">
        <v>233</v>
      </c>
      <c r="B108" t="s">
        <v>234</v>
      </c>
      <c r="C108" t="s">
        <v>11</v>
      </c>
      <c r="D108" t="s">
        <v>12</v>
      </c>
      <c r="E108" t="s">
        <v>13</v>
      </c>
      <c r="F108" t="s">
        <v>14</v>
      </c>
      <c r="G108">
        <v>3</v>
      </c>
      <c r="H108">
        <v>722.5</v>
      </c>
      <c r="I108">
        <v>200</v>
      </c>
    </row>
    <row r="109" spans="1:9" x14ac:dyDescent="0.3">
      <c r="A109" t="s">
        <v>235</v>
      </c>
      <c r="B109" t="s">
        <v>144</v>
      </c>
      <c r="C109" t="s">
        <v>50</v>
      </c>
      <c r="D109" t="s">
        <v>51</v>
      </c>
      <c r="E109" t="s">
        <v>13</v>
      </c>
      <c r="F109" t="s">
        <v>37</v>
      </c>
      <c r="G109">
        <v>18</v>
      </c>
      <c r="H109">
        <v>95</v>
      </c>
      <c r="I109">
        <v>40</v>
      </c>
    </row>
    <row r="110" spans="1:9" x14ac:dyDescent="0.3">
      <c r="A110" t="s">
        <v>236</v>
      </c>
      <c r="B110" t="s">
        <v>140</v>
      </c>
      <c r="D110" t="s">
        <v>34</v>
      </c>
      <c r="E110" t="s">
        <v>118</v>
      </c>
      <c r="F110" t="s">
        <v>37</v>
      </c>
      <c r="G110">
        <v>18</v>
      </c>
      <c r="H110">
        <v>180</v>
      </c>
      <c r="I110">
        <v>110</v>
      </c>
    </row>
    <row r="111" spans="1:9" x14ac:dyDescent="0.3">
      <c r="A111" t="s">
        <v>237</v>
      </c>
      <c r="B111" t="s">
        <v>238</v>
      </c>
      <c r="C111" t="s">
        <v>50</v>
      </c>
      <c r="D111" t="s">
        <v>51</v>
      </c>
      <c r="E111" t="s">
        <v>19</v>
      </c>
      <c r="F111" t="s">
        <v>24</v>
      </c>
      <c r="G111">
        <v>25</v>
      </c>
      <c r="H111">
        <v>85.5</v>
      </c>
      <c r="I111">
        <v>40</v>
      </c>
    </row>
    <row r="112" spans="1:9" x14ac:dyDescent="0.3">
      <c r="A112" t="s">
        <v>239</v>
      </c>
      <c r="B112" t="s">
        <v>211</v>
      </c>
      <c r="C112" t="s">
        <v>17</v>
      </c>
      <c r="D112" t="s">
        <v>18</v>
      </c>
      <c r="E112" t="s">
        <v>13</v>
      </c>
      <c r="F112" t="s">
        <v>62</v>
      </c>
      <c r="G112">
        <v>1</v>
      </c>
      <c r="H112">
        <v>59.5</v>
      </c>
      <c r="I112">
        <v>32</v>
      </c>
    </row>
    <row r="113" spans="1:9" x14ac:dyDescent="0.3">
      <c r="A113" t="s">
        <v>240</v>
      </c>
      <c r="B113" t="s">
        <v>241</v>
      </c>
      <c r="C113" t="s">
        <v>11</v>
      </c>
      <c r="D113" t="s">
        <v>22</v>
      </c>
      <c r="E113" t="s">
        <v>13</v>
      </c>
      <c r="F113" t="s">
        <v>40</v>
      </c>
      <c r="G113">
        <v>6</v>
      </c>
      <c r="H113">
        <v>57</v>
      </c>
      <c r="I113">
        <v>15</v>
      </c>
    </row>
    <row r="114" spans="1:9" x14ac:dyDescent="0.3">
      <c r="A114" t="s">
        <v>242</v>
      </c>
      <c r="B114" t="s">
        <v>243</v>
      </c>
      <c r="D114" t="s">
        <v>112</v>
      </c>
      <c r="E114" t="s">
        <v>19</v>
      </c>
      <c r="F114" t="s">
        <v>14</v>
      </c>
      <c r="G114">
        <v>43</v>
      </c>
      <c r="H114">
        <v>65</v>
      </c>
      <c r="I114">
        <v>28</v>
      </c>
    </row>
    <row r="115" spans="1:9" x14ac:dyDescent="0.3">
      <c r="A115" t="s">
        <v>244</v>
      </c>
      <c r="B115" t="s">
        <v>245</v>
      </c>
      <c r="C115" t="s">
        <v>50</v>
      </c>
      <c r="D115" t="s">
        <v>108</v>
      </c>
      <c r="E115" t="s">
        <v>30</v>
      </c>
      <c r="F115" t="s">
        <v>14</v>
      </c>
      <c r="G115">
        <v>42</v>
      </c>
      <c r="H115">
        <v>120</v>
      </c>
      <c r="I115">
        <v>75</v>
      </c>
    </row>
    <row r="116" spans="1:9" x14ac:dyDescent="0.3">
      <c r="A116" t="s">
        <v>246</v>
      </c>
      <c r="B116" t="s">
        <v>247</v>
      </c>
      <c r="C116" t="s">
        <v>11</v>
      </c>
      <c r="D116" t="s">
        <v>46</v>
      </c>
      <c r="E116" t="s">
        <v>19</v>
      </c>
      <c r="F116" t="s">
        <v>37</v>
      </c>
      <c r="G116">
        <v>34</v>
      </c>
      <c r="H116">
        <v>500</v>
      </c>
      <c r="I116">
        <v>120</v>
      </c>
    </row>
    <row r="117" spans="1:9" x14ac:dyDescent="0.3">
      <c r="A117" t="s">
        <v>248</v>
      </c>
      <c r="B117" t="s">
        <v>249</v>
      </c>
      <c r="C117" t="s">
        <v>17</v>
      </c>
      <c r="D117" t="s">
        <v>18</v>
      </c>
      <c r="E117" t="s">
        <v>43</v>
      </c>
      <c r="F117" t="s">
        <v>62</v>
      </c>
      <c r="G117">
        <v>5</v>
      </c>
      <c r="H117">
        <v>70</v>
      </c>
      <c r="I117">
        <v>32</v>
      </c>
    </row>
    <row r="118" spans="1:9" x14ac:dyDescent="0.3">
      <c r="A118" t="s">
        <v>250</v>
      </c>
      <c r="B118" t="s">
        <v>251</v>
      </c>
      <c r="C118" t="s">
        <v>17</v>
      </c>
      <c r="D118" t="s">
        <v>34</v>
      </c>
      <c r="E118" t="s">
        <v>23</v>
      </c>
      <c r="F118" t="s">
        <v>37</v>
      </c>
      <c r="G118">
        <v>28</v>
      </c>
      <c r="H118">
        <v>153</v>
      </c>
      <c r="I118">
        <v>110</v>
      </c>
    </row>
    <row r="119" spans="1:9" x14ac:dyDescent="0.3">
      <c r="A119" t="s">
        <v>252</v>
      </c>
      <c r="B119" t="s">
        <v>238</v>
      </c>
      <c r="C119" t="s">
        <v>17</v>
      </c>
      <c r="D119" t="s">
        <v>61</v>
      </c>
      <c r="E119" t="s">
        <v>19</v>
      </c>
      <c r="F119" t="s">
        <v>40</v>
      </c>
      <c r="G119">
        <v>13</v>
      </c>
      <c r="H119">
        <v>38.25</v>
      </c>
      <c r="I119">
        <v>20</v>
      </c>
    </row>
    <row r="120" spans="1:9" x14ac:dyDescent="0.3">
      <c r="A120" t="s">
        <v>253</v>
      </c>
      <c r="B120" t="s">
        <v>254</v>
      </c>
      <c r="C120" t="s">
        <v>11</v>
      </c>
      <c r="D120" t="s">
        <v>46</v>
      </c>
      <c r="E120" t="s">
        <v>13</v>
      </c>
      <c r="F120" t="s">
        <v>62</v>
      </c>
      <c r="G120">
        <v>42</v>
      </c>
      <c r="H120">
        <v>450</v>
      </c>
      <c r="I120">
        <v>120</v>
      </c>
    </row>
    <row r="121" spans="1:9" x14ac:dyDescent="0.3">
      <c r="A121" t="s">
        <v>255</v>
      </c>
      <c r="B121" t="s">
        <v>256</v>
      </c>
      <c r="C121" t="s">
        <v>11</v>
      </c>
      <c r="D121" t="s">
        <v>12</v>
      </c>
      <c r="E121" t="s">
        <v>19</v>
      </c>
      <c r="F121" t="s">
        <v>40</v>
      </c>
      <c r="G121">
        <v>30</v>
      </c>
      <c r="H121">
        <v>850</v>
      </c>
      <c r="I121">
        <v>200</v>
      </c>
    </row>
    <row r="122" spans="1:9" x14ac:dyDescent="0.3">
      <c r="A122" t="s">
        <v>257</v>
      </c>
      <c r="B122" t="s">
        <v>258</v>
      </c>
      <c r="C122" t="s">
        <v>50</v>
      </c>
      <c r="D122" t="s">
        <v>58</v>
      </c>
      <c r="E122" t="s">
        <v>13</v>
      </c>
      <c r="F122" t="s">
        <v>14</v>
      </c>
      <c r="G122">
        <v>24</v>
      </c>
      <c r="H122">
        <v>272</v>
      </c>
      <c r="I122">
        <v>210</v>
      </c>
    </row>
    <row r="123" spans="1:9" x14ac:dyDescent="0.3">
      <c r="A123" t="s">
        <v>259</v>
      </c>
      <c r="B123" t="s">
        <v>193</v>
      </c>
      <c r="C123" t="s">
        <v>17</v>
      </c>
      <c r="D123" t="s">
        <v>61</v>
      </c>
      <c r="E123" t="s">
        <v>47</v>
      </c>
      <c r="F123" t="s">
        <v>24</v>
      </c>
      <c r="G123">
        <v>37</v>
      </c>
      <c r="H123">
        <v>38.25</v>
      </c>
      <c r="I123">
        <v>20</v>
      </c>
    </row>
    <row r="124" spans="1:9" x14ac:dyDescent="0.3">
      <c r="A124" t="s">
        <v>260</v>
      </c>
      <c r="B124" t="s">
        <v>261</v>
      </c>
      <c r="C124" t="s">
        <v>50</v>
      </c>
      <c r="D124" t="s">
        <v>51</v>
      </c>
      <c r="E124" t="s">
        <v>102</v>
      </c>
      <c r="F124" t="s">
        <v>24</v>
      </c>
      <c r="G124">
        <v>1</v>
      </c>
      <c r="H124">
        <v>90.25</v>
      </c>
      <c r="I124">
        <v>40</v>
      </c>
    </row>
    <row r="125" spans="1:9" x14ac:dyDescent="0.3">
      <c r="A125" t="s">
        <v>262</v>
      </c>
      <c r="B125" t="s">
        <v>263</v>
      </c>
      <c r="C125" t="s">
        <v>11</v>
      </c>
      <c r="D125" t="s">
        <v>12</v>
      </c>
      <c r="E125" t="s">
        <v>30</v>
      </c>
      <c r="F125" t="s">
        <v>37</v>
      </c>
      <c r="G125">
        <v>11</v>
      </c>
      <c r="H125">
        <v>850</v>
      </c>
      <c r="I125">
        <v>200</v>
      </c>
    </row>
    <row r="126" spans="1:9" x14ac:dyDescent="0.3">
      <c r="A126" t="s">
        <v>264</v>
      </c>
      <c r="B126" t="s">
        <v>265</v>
      </c>
      <c r="C126" t="s">
        <v>17</v>
      </c>
      <c r="D126" t="s">
        <v>34</v>
      </c>
      <c r="E126" t="s">
        <v>30</v>
      </c>
      <c r="F126" t="s">
        <v>62</v>
      </c>
      <c r="G126">
        <v>35</v>
      </c>
      <c r="H126">
        <v>153</v>
      </c>
      <c r="I126">
        <v>110</v>
      </c>
    </row>
    <row r="127" spans="1:9" x14ac:dyDescent="0.3">
      <c r="A127" t="s">
        <v>266</v>
      </c>
      <c r="B127" t="s">
        <v>267</v>
      </c>
      <c r="C127" t="s">
        <v>17</v>
      </c>
      <c r="D127" t="s">
        <v>61</v>
      </c>
      <c r="E127" t="s">
        <v>19</v>
      </c>
      <c r="F127" t="s">
        <v>40</v>
      </c>
      <c r="G127">
        <v>27</v>
      </c>
      <c r="H127">
        <v>45</v>
      </c>
      <c r="I127">
        <v>20</v>
      </c>
    </row>
    <row r="128" spans="1:9" x14ac:dyDescent="0.3">
      <c r="A128" t="s">
        <v>268</v>
      </c>
      <c r="B128" t="s">
        <v>26</v>
      </c>
      <c r="C128" t="s">
        <v>50</v>
      </c>
      <c r="D128" t="s">
        <v>58</v>
      </c>
      <c r="E128" t="s">
        <v>47</v>
      </c>
      <c r="F128" t="s">
        <v>62</v>
      </c>
      <c r="G128">
        <v>5</v>
      </c>
      <c r="H128">
        <v>320</v>
      </c>
      <c r="I128">
        <v>210</v>
      </c>
    </row>
    <row r="129" spans="1:9" x14ac:dyDescent="0.3">
      <c r="A129" t="s">
        <v>269</v>
      </c>
      <c r="B129" t="s">
        <v>167</v>
      </c>
      <c r="C129" t="s">
        <v>17</v>
      </c>
      <c r="D129" t="s">
        <v>61</v>
      </c>
      <c r="E129" t="s">
        <v>47</v>
      </c>
      <c r="F129" t="s">
        <v>31</v>
      </c>
      <c r="G129">
        <v>25</v>
      </c>
      <c r="H129">
        <v>45</v>
      </c>
      <c r="I129">
        <v>20</v>
      </c>
    </row>
    <row r="130" spans="1:9" x14ac:dyDescent="0.3">
      <c r="A130" t="s">
        <v>270</v>
      </c>
      <c r="B130" t="s">
        <v>271</v>
      </c>
      <c r="C130" t="s">
        <v>11</v>
      </c>
      <c r="D130" t="s">
        <v>46</v>
      </c>
      <c r="E130" t="s">
        <v>163</v>
      </c>
      <c r="F130" t="s">
        <v>31</v>
      </c>
      <c r="G130">
        <v>3</v>
      </c>
      <c r="H130">
        <v>450</v>
      </c>
      <c r="I130">
        <v>120</v>
      </c>
    </row>
    <row r="131" spans="1:9" x14ac:dyDescent="0.3">
      <c r="A131" t="s">
        <v>272</v>
      </c>
      <c r="B131" t="s">
        <v>273</v>
      </c>
      <c r="C131" t="s">
        <v>50</v>
      </c>
      <c r="D131" t="s">
        <v>108</v>
      </c>
      <c r="E131" t="s">
        <v>19</v>
      </c>
      <c r="F131" t="s">
        <v>24</v>
      </c>
      <c r="G131">
        <v>2</v>
      </c>
      <c r="H131">
        <v>120</v>
      </c>
      <c r="I131">
        <v>75</v>
      </c>
    </row>
    <row r="132" spans="1:9" x14ac:dyDescent="0.3">
      <c r="A132" t="s">
        <v>274</v>
      </c>
      <c r="B132" t="s">
        <v>167</v>
      </c>
      <c r="C132" t="s">
        <v>11</v>
      </c>
      <c r="D132" t="s">
        <v>12</v>
      </c>
      <c r="E132" t="s">
        <v>47</v>
      </c>
      <c r="F132" t="s">
        <v>37</v>
      </c>
      <c r="G132">
        <v>25</v>
      </c>
      <c r="H132">
        <v>850</v>
      </c>
      <c r="I132">
        <v>200</v>
      </c>
    </row>
    <row r="133" spans="1:9" x14ac:dyDescent="0.3">
      <c r="A133" t="s">
        <v>275</v>
      </c>
      <c r="B133" t="s">
        <v>241</v>
      </c>
      <c r="C133" t="s">
        <v>50</v>
      </c>
      <c r="D133" t="s">
        <v>51</v>
      </c>
      <c r="E133" t="s">
        <v>19</v>
      </c>
      <c r="F133" t="s">
        <v>14</v>
      </c>
      <c r="G133">
        <v>33</v>
      </c>
      <c r="H133">
        <v>95</v>
      </c>
      <c r="I133">
        <v>40</v>
      </c>
    </row>
    <row r="134" spans="1:9" x14ac:dyDescent="0.3">
      <c r="A134" t="s">
        <v>276</v>
      </c>
      <c r="B134" t="s">
        <v>277</v>
      </c>
      <c r="C134" t="s">
        <v>17</v>
      </c>
      <c r="D134" t="s">
        <v>61</v>
      </c>
      <c r="E134" t="s">
        <v>177</v>
      </c>
      <c r="G134">
        <v>15</v>
      </c>
      <c r="H134">
        <v>45</v>
      </c>
      <c r="I134">
        <v>20</v>
      </c>
    </row>
    <row r="135" spans="1:9" x14ac:dyDescent="0.3">
      <c r="A135" t="s">
        <v>278</v>
      </c>
      <c r="B135" t="s">
        <v>279</v>
      </c>
      <c r="C135" t="s">
        <v>17</v>
      </c>
      <c r="D135" t="s">
        <v>29</v>
      </c>
      <c r="E135" t="s">
        <v>47</v>
      </c>
      <c r="F135" t="s">
        <v>62</v>
      </c>
      <c r="G135">
        <v>12</v>
      </c>
      <c r="H135">
        <v>250</v>
      </c>
      <c r="I135">
        <v>160</v>
      </c>
    </row>
    <row r="136" spans="1:9" x14ac:dyDescent="0.3">
      <c r="A136" t="s">
        <v>280</v>
      </c>
      <c r="B136" t="s">
        <v>281</v>
      </c>
      <c r="C136" t="s">
        <v>17</v>
      </c>
      <c r="D136" t="s">
        <v>34</v>
      </c>
      <c r="E136" t="s">
        <v>47</v>
      </c>
      <c r="F136" t="s">
        <v>40</v>
      </c>
      <c r="G136">
        <v>41</v>
      </c>
      <c r="H136">
        <v>162</v>
      </c>
      <c r="I136">
        <v>110</v>
      </c>
    </row>
    <row r="137" spans="1:9" x14ac:dyDescent="0.3">
      <c r="A137" t="s">
        <v>282</v>
      </c>
      <c r="B137" t="s">
        <v>283</v>
      </c>
      <c r="C137" t="s">
        <v>50</v>
      </c>
      <c r="D137" t="s">
        <v>112</v>
      </c>
      <c r="E137" t="s">
        <v>47</v>
      </c>
      <c r="F137" t="s">
        <v>24</v>
      </c>
      <c r="G137">
        <v>36</v>
      </c>
      <c r="H137">
        <v>55.25</v>
      </c>
      <c r="I137">
        <v>28</v>
      </c>
    </row>
    <row r="138" spans="1:9" x14ac:dyDescent="0.3">
      <c r="A138" t="s">
        <v>284</v>
      </c>
      <c r="B138" t="s">
        <v>285</v>
      </c>
      <c r="C138" t="s">
        <v>17</v>
      </c>
      <c r="D138" t="s">
        <v>34</v>
      </c>
      <c r="E138" t="s">
        <v>13</v>
      </c>
      <c r="F138" t="s">
        <v>62</v>
      </c>
      <c r="G138">
        <v>3</v>
      </c>
      <c r="H138">
        <v>162</v>
      </c>
      <c r="I138">
        <v>110</v>
      </c>
    </row>
    <row r="139" spans="1:9" x14ac:dyDescent="0.3">
      <c r="A139" t="s">
        <v>286</v>
      </c>
      <c r="B139" t="s">
        <v>287</v>
      </c>
      <c r="C139" t="s">
        <v>50</v>
      </c>
      <c r="D139" t="s">
        <v>112</v>
      </c>
      <c r="E139" t="s">
        <v>13</v>
      </c>
      <c r="F139" t="s">
        <v>31</v>
      </c>
      <c r="G139">
        <v>37</v>
      </c>
      <c r="H139">
        <v>58.5</v>
      </c>
      <c r="I139">
        <v>28</v>
      </c>
    </row>
    <row r="140" spans="1:9" x14ac:dyDescent="0.3">
      <c r="A140" t="s">
        <v>288</v>
      </c>
      <c r="B140" t="s">
        <v>271</v>
      </c>
      <c r="C140" t="s">
        <v>50</v>
      </c>
      <c r="D140" t="s">
        <v>51</v>
      </c>
      <c r="E140" t="s">
        <v>102</v>
      </c>
      <c r="F140" t="s">
        <v>31</v>
      </c>
      <c r="G140">
        <v>2</v>
      </c>
      <c r="H140">
        <v>95</v>
      </c>
      <c r="I140">
        <v>40</v>
      </c>
    </row>
    <row r="141" spans="1:9" x14ac:dyDescent="0.3">
      <c r="A141" t="s">
        <v>289</v>
      </c>
      <c r="B141" t="s">
        <v>290</v>
      </c>
      <c r="C141" t="s">
        <v>50</v>
      </c>
      <c r="D141" t="s">
        <v>71</v>
      </c>
      <c r="E141" t="s">
        <v>47</v>
      </c>
      <c r="F141" t="s">
        <v>62</v>
      </c>
      <c r="G141">
        <v>35</v>
      </c>
      <c r="H141">
        <v>85</v>
      </c>
      <c r="I141">
        <v>45</v>
      </c>
    </row>
    <row r="142" spans="1:9" x14ac:dyDescent="0.3">
      <c r="A142" t="s">
        <v>291</v>
      </c>
      <c r="B142" t="s">
        <v>181</v>
      </c>
      <c r="C142" t="s">
        <v>11</v>
      </c>
      <c r="D142" t="s">
        <v>46</v>
      </c>
      <c r="E142" t="s">
        <v>13</v>
      </c>
      <c r="F142" t="s">
        <v>62</v>
      </c>
      <c r="G142">
        <v>14</v>
      </c>
      <c r="H142">
        <v>500</v>
      </c>
      <c r="I142">
        <v>120</v>
      </c>
    </row>
    <row r="143" spans="1:9" x14ac:dyDescent="0.3">
      <c r="A143" t="s">
        <v>292</v>
      </c>
      <c r="B143" t="s">
        <v>293</v>
      </c>
      <c r="C143" t="s">
        <v>17</v>
      </c>
      <c r="D143" t="s">
        <v>61</v>
      </c>
      <c r="E143" t="s">
        <v>47</v>
      </c>
      <c r="F143" t="s">
        <v>62</v>
      </c>
      <c r="G143">
        <v>40</v>
      </c>
      <c r="H143">
        <v>40.5</v>
      </c>
      <c r="I143">
        <v>20</v>
      </c>
    </row>
    <row r="144" spans="1:9" x14ac:dyDescent="0.3">
      <c r="A144" t="s">
        <v>294</v>
      </c>
      <c r="B144" t="s">
        <v>295</v>
      </c>
      <c r="C144" t="s">
        <v>17</v>
      </c>
      <c r="D144" t="s">
        <v>34</v>
      </c>
      <c r="E144" t="s">
        <v>13</v>
      </c>
      <c r="F144" t="s">
        <v>14</v>
      </c>
      <c r="G144">
        <v>12</v>
      </c>
      <c r="H144">
        <v>171</v>
      </c>
      <c r="I144">
        <v>110</v>
      </c>
    </row>
    <row r="145" spans="1:9" x14ac:dyDescent="0.3">
      <c r="A145" t="s">
        <v>296</v>
      </c>
      <c r="B145" t="s">
        <v>297</v>
      </c>
      <c r="C145" t="s">
        <v>17</v>
      </c>
      <c r="D145" t="s">
        <v>18</v>
      </c>
      <c r="E145" t="s">
        <v>47</v>
      </c>
      <c r="F145" t="s">
        <v>37</v>
      </c>
      <c r="G145">
        <v>37</v>
      </c>
      <c r="H145">
        <v>63</v>
      </c>
      <c r="I145">
        <v>32</v>
      </c>
    </row>
    <row r="146" spans="1:9" x14ac:dyDescent="0.3">
      <c r="A146" t="s">
        <v>298</v>
      </c>
      <c r="B146" t="s">
        <v>165</v>
      </c>
      <c r="D146" t="s">
        <v>46</v>
      </c>
      <c r="E146" t="s">
        <v>102</v>
      </c>
      <c r="F146" t="s">
        <v>14</v>
      </c>
      <c r="G146">
        <v>9</v>
      </c>
      <c r="H146">
        <v>425</v>
      </c>
      <c r="I146">
        <v>120</v>
      </c>
    </row>
    <row r="147" spans="1:9" x14ac:dyDescent="0.3">
      <c r="A147" t="s">
        <v>299</v>
      </c>
      <c r="B147" t="s">
        <v>231</v>
      </c>
      <c r="C147" t="s">
        <v>50</v>
      </c>
      <c r="D147" t="s">
        <v>58</v>
      </c>
      <c r="E147" t="s">
        <v>102</v>
      </c>
      <c r="G147">
        <v>24</v>
      </c>
      <c r="H147">
        <v>320</v>
      </c>
      <c r="I147">
        <v>210</v>
      </c>
    </row>
    <row r="148" spans="1:9" x14ac:dyDescent="0.3">
      <c r="A148" t="s">
        <v>300</v>
      </c>
      <c r="B148" t="s">
        <v>144</v>
      </c>
      <c r="C148" t="s">
        <v>11</v>
      </c>
      <c r="D148" t="s">
        <v>12</v>
      </c>
      <c r="E148" t="s">
        <v>30</v>
      </c>
      <c r="F148" t="s">
        <v>24</v>
      </c>
      <c r="G148">
        <v>20</v>
      </c>
      <c r="H148">
        <v>807.5</v>
      </c>
      <c r="I148">
        <v>200</v>
      </c>
    </row>
    <row r="149" spans="1:9" x14ac:dyDescent="0.3">
      <c r="A149" t="s">
        <v>301</v>
      </c>
      <c r="B149" t="s">
        <v>302</v>
      </c>
      <c r="C149" t="s">
        <v>50</v>
      </c>
      <c r="D149" t="s">
        <v>108</v>
      </c>
      <c r="E149" t="s">
        <v>13</v>
      </c>
      <c r="F149" t="s">
        <v>24</v>
      </c>
      <c r="G149">
        <v>5</v>
      </c>
      <c r="H149">
        <v>114</v>
      </c>
      <c r="I149">
        <v>75</v>
      </c>
    </row>
    <row r="150" spans="1:9" x14ac:dyDescent="0.3">
      <c r="A150" t="s">
        <v>303</v>
      </c>
      <c r="B150" t="s">
        <v>304</v>
      </c>
      <c r="C150" t="s">
        <v>17</v>
      </c>
      <c r="D150" t="s">
        <v>18</v>
      </c>
      <c r="E150" t="s">
        <v>13</v>
      </c>
      <c r="F150" t="s">
        <v>31</v>
      </c>
      <c r="G150">
        <v>27</v>
      </c>
      <c r="H150">
        <v>70</v>
      </c>
      <c r="I150">
        <v>32</v>
      </c>
    </row>
    <row r="151" spans="1:9" x14ac:dyDescent="0.3">
      <c r="A151" t="s">
        <v>305</v>
      </c>
      <c r="B151" t="s">
        <v>306</v>
      </c>
      <c r="C151" t="s">
        <v>50</v>
      </c>
      <c r="D151" t="s">
        <v>108</v>
      </c>
      <c r="E151" t="s">
        <v>307</v>
      </c>
      <c r="F151" t="s">
        <v>14</v>
      </c>
      <c r="G151">
        <v>6</v>
      </c>
      <c r="H151">
        <v>120</v>
      </c>
      <c r="I151">
        <v>75</v>
      </c>
    </row>
    <row r="152" spans="1:9" x14ac:dyDescent="0.3">
      <c r="A152" t="s">
        <v>308</v>
      </c>
      <c r="B152" t="s">
        <v>309</v>
      </c>
      <c r="C152" t="s">
        <v>11</v>
      </c>
      <c r="D152" t="s">
        <v>22</v>
      </c>
      <c r="E152" t="s">
        <v>19</v>
      </c>
      <c r="F152" t="s">
        <v>31</v>
      </c>
      <c r="G152">
        <v>38</v>
      </c>
      <c r="H152">
        <v>60</v>
      </c>
      <c r="I152">
        <v>15</v>
      </c>
    </row>
    <row r="153" spans="1:9" x14ac:dyDescent="0.3">
      <c r="A153" t="s">
        <v>310</v>
      </c>
      <c r="B153" t="s">
        <v>311</v>
      </c>
      <c r="C153" t="s">
        <v>50</v>
      </c>
      <c r="D153" t="s">
        <v>108</v>
      </c>
      <c r="E153" t="s">
        <v>13</v>
      </c>
      <c r="F153" t="s">
        <v>31</v>
      </c>
      <c r="G153">
        <v>7</v>
      </c>
      <c r="H153">
        <v>102</v>
      </c>
      <c r="I153">
        <v>75</v>
      </c>
    </row>
    <row r="154" spans="1:9" x14ac:dyDescent="0.3">
      <c r="A154" t="s">
        <v>312</v>
      </c>
      <c r="B154" t="s">
        <v>313</v>
      </c>
      <c r="C154" t="s">
        <v>17</v>
      </c>
      <c r="D154" t="s">
        <v>61</v>
      </c>
      <c r="E154" t="s">
        <v>19</v>
      </c>
      <c r="F154" t="s">
        <v>24</v>
      </c>
      <c r="G154">
        <v>10</v>
      </c>
      <c r="H154">
        <v>45</v>
      </c>
      <c r="I154">
        <v>20</v>
      </c>
    </row>
    <row r="155" spans="1:9" x14ac:dyDescent="0.3">
      <c r="A155" t="s">
        <v>314</v>
      </c>
      <c r="B155" t="s">
        <v>315</v>
      </c>
      <c r="C155" t="s">
        <v>50</v>
      </c>
      <c r="D155" t="s">
        <v>112</v>
      </c>
      <c r="E155" t="s">
        <v>30</v>
      </c>
      <c r="F155" t="s">
        <v>37</v>
      </c>
      <c r="G155">
        <v>34</v>
      </c>
      <c r="H155">
        <v>55.25</v>
      </c>
      <c r="I155">
        <v>28</v>
      </c>
    </row>
    <row r="156" spans="1:9" x14ac:dyDescent="0.3">
      <c r="A156" t="s">
        <v>316</v>
      </c>
      <c r="B156" t="s">
        <v>283</v>
      </c>
      <c r="C156" t="s">
        <v>17</v>
      </c>
      <c r="D156" t="s">
        <v>18</v>
      </c>
      <c r="E156" t="s">
        <v>13</v>
      </c>
      <c r="G156">
        <v>23</v>
      </c>
      <c r="H156">
        <v>70</v>
      </c>
      <c r="I156">
        <v>32</v>
      </c>
    </row>
    <row r="157" spans="1:9" x14ac:dyDescent="0.3">
      <c r="A157" t="s">
        <v>317</v>
      </c>
      <c r="B157" t="s">
        <v>318</v>
      </c>
      <c r="C157" t="s">
        <v>11</v>
      </c>
      <c r="D157" t="s">
        <v>12</v>
      </c>
      <c r="E157" t="s">
        <v>13</v>
      </c>
      <c r="F157" t="s">
        <v>24</v>
      </c>
      <c r="G157">
        <v>19</v>
      </c>
      <c r="H157">
        <v>850</v>
      </c>
      <c r="I157">
        <v>200</v>
      </c>
    </row>
    <row r="158" spans="1:9" x14ac:dyDescent="0.3">
      <c r="A158" t="s">
        <v>319</v>
      </c>
      <c r="B158" t="s">
        <v>320</v>
      </c>
      <c r="C158" t="s">
        <v>11</v>
      </c>
      <c r="D158" t="s">
        <v>22</v>
      </c>
      <c r="E158" t="s">
        <v>19</v>
      </c>
      <c r="F158" t="s">
        <v>14</v>
      </c>
      <c r="G158">
        <v>13</v>
      </c>
      <c r="H158">
        <v>54</v>
      </c>
      <c r="I158">
        <v>15</v>
      </c>
    </row>
    <row r="159" spans="1:9" x14ac:dyDescent="0.3">
      <c r="A159" t="s">
        <v>321</v>
      </c>
      <c r="B159" t="s">
        <v>322</v>
      </c>
      <c r="C159" t="s">
        <v>50</v>
      </c>
      <c r="D159" t="s">
        <v>108</v>
      </c>
      <c r="E159" t="s">
        <v>19</v>
      </c>
      <c r="F159" t="s">
        <v>31</v>
      </c>
      <c r="G159">
        <v>20</v>
      </c>
      <c r="H159">
        <v>108</v>
      </c>
      <c r="I159">
        <v>75</v>
      </c>
    </row>
    <row r="160" spans="1:9" x14ac:dyDescent="0.3">
      <c r="A160" t="s">
        <v>323</v>
      </c>
      <c r="B160" t="s">
        <v>324</v>
      </c>
      <c r="C160" t="s">
        <v>50</v>
      </c>
      <c r="D160" t="s">
        <v>112</v>
      </c>
      <c r="E160" t="s">
        <v>13</v>
      </c>
      <c r="F160" t="s">
        <v>14</v>
      </c>
      <c r="G160">
        <v>9</v>
      </c>
      <c r="H160">
        <v>65</v>
      </c>
      <c r="I160">
        <v>28</v>
      </c>
    </row>
    <row r="161" spans="1:9" x14ac:dyDescent="0.3">
      <c r="A161" t="s">
        <v>325</v>
      </c>
      <c r="B161" t="s">
        <v>326</v>
      </c>
      <c r="C161" t="s">
        <v>50</v>
      </c>
      <c r="D161" t="s">
        <v>51</v>
      </c>
      <c r="E161" t="s">
        <v>47</v>
      </c>
      <c r="F161" t="s">
        <v>31</v>
      </c>
      <c r="G161">
        <v>39</v>
      </c>
      <c r="H161">
        <v>95</v>
      </c>
      <c r="I161">
        <v>40</v>
      </c>
    </row>
    <row r="162" spans="1:9" x14ac:dyDescent="0.3">
      <c r="A162" t="s">
        <v>327</v>
      </c>
      <c r="B162" t="s">
        <v>328</v>
      </c>
      <c r="C162" t="s">
        <v>11</v>
      </c>
      <c r="D162" t="s">
        <v>22</v>
      </c>
      <c r="E162" t="s">
        <v>13</v>
      </c>
      <c r="F162" t="s">
        <v>62</v>
      </c>
      <c r="G162">
        <v>22</v>
      </c>
      <c r="H162">
        <v>51</v>
      </c>
      <c r="I162">
        <v>15</v>
      </c>
    </row>
    <row r="163" spans="1:9" x14ac:dyDescent="0.3">
      <c r="A163" t="s">
        <v>329</v>
      </c>
      <c r="B163" t="s">
        <v>330</v>
      </c>
      <c r="C163" t="s">
        <v>50</v>
      </c>
      <c r="D163" t="s">
        <v>112</v>
      </c>
      <c r="E163" t="s">
        <v>118</v>
      </c>
      <c r="F163" t="s">
        <v>14</v>
      </c>
      <c r="G163">
        <v>35</v>
      </c>
      <c r="H163">
        <v>55.25</v>
      </c>
      <c r="I163">
        <v>28</v>
      </c>
    </row>
    <row r="164" spans="1:9" x14ac:dyDescent="0.3">
      <c r="A164" t="s">
        <v>331</v>
      </c>
      <c r="B164" t="s">
        <v>332</v>
      </c>
      <c r="C164" t="s">
        <v>11</v>
      </c>
      <c r="D164" t="s">
        <v>22</v>
      </c>
      <c r="E164" t="s">
        <v>30</v>
      </c>
      <c r="F164" t="s">
        <v>37</v>
      </c>
      <c r="G164">
        <v>36</v>
      </c>
      <c r="H164">
        <v>51</v>
      </c>
      <c r="I164">
        <v>15</v>
      </c>
    </row>
    <row r="165" spans="1:9" x14ac:dyDescent="0.3">
      <c r="A165" t="s">
        <v>333</v>
      </c>
      <c r="B165" t="s">
        <v>334</v>
      </c>
      <c r="C165" t="s">
        <v>11</v>
      </c>
      <c r="D165" t="s">
        <v>46</v>
      </c>
      <c r="E165" t="s">
        <v>19</v>
      </c>
      <c r="F165" t="s">
        <v>31</v>
      </c>
      <c r="G165">
        <v>5</v>
      </c>
      <c r="H165">
        <v>450</v>
      </c>
      <c r="I165">
        <v>120</v>
      </c>
    </row>
    <row r="166" spans="1:9" x14ac:dyDescent="0.3">
      <c r="A166" t="s">
        <v>335</v>
      </c>
      <c r="B166" t="s">
        <v>271</v>
      </c>
      <c r="C166" t="s">
        <v>50</v>
      </c>
      <c r="D166" t="s">
        <v>71</v>
      </c>
      <c r="E166" t="s">
        <v>19</v>
      </c>
      <c r="F166" t="s">
        <v>14</v>
      </c>
      <c r="G166">
        <v>23</v>
      </c>
      <c r="H166">
        <v>76.5</v>
      </c>
      <c r="I166">
        <v>45</v>
      </c>
    </row>
    <row r="167" spans="1:9" x14ac:dyDescent="0.3">
      <c r="A167" t="s">
        <v>336</v>
      </c>
      <c r="B167" t="s">
        <v>337</v>
      </c>
      <c r="C167" t="s">
        <v>17</v>
      </c>
      <c r="D167" t="s">
        <v>18</v>
      </c>
      <c r="E167" t="s">
        <v>118</v>
      </c>
      <c r="F167" t="s">
        <v>37</v>
      </c>
      <c r="G167">
        <v>29</v>
      </c>
      <c r="H167">
        <v>70</v>
      </c>
      <c r="I167">
        <v>32</v>
      </c>
    </row>
    <row r="168" spans="1:9" x14ac:dyDescent="0.3">
      <c r="A168" t="s">
        <v>338</v>
      </c>
      <c r="B168" t="s">
        <v>140</v>
      </c>
      <c r="D168" t="s">
        <v>51</v>
      </c>
      <c r="E168" t="s">
        <v>47</v>
      </c>
      <c r="F168" t="s">
        <v>24</v>
      </c>
      <c r="G168">
        <v>23</v>
      </c>
      <c r="H168">
        <v>85.5</v>
      </c>
      <c r="I168">
        <v>40</v>
      </c>
    </row>
    <row r="169" spans="1:9" x14ac:dyDescent="0.3">
      <c r="A169" t="s">
        <v>339</v>
      </c>
      <c r="B169" t="s">
        <v>340</v>
      </c>
      <c r="C169" t="s">
        <v>17</v>
      </c>
      <c r="D169" t="s">
        <v>29</v>
      </c>
      <c r="E169" t="s">
        <v>102</v>
      </c>
      <c r="F169" t="s">
        <v>14</v>
      </c>
      <c r="G169">
        <v>8</v>
      </c>
      <c r="H169">
        <v>250</v>
      </c>
      <c r="I169">
        <v>160</v>
      </c>
    </row>
    <row r="170" spans="1:9" x14ac:dyDescent="0.3">
      <c r="A170" t="s">
        <v>341</v>
      </c>
      <c r="B170" t="s">
        <v>342</v>
      </c>
      <c r="C170" t="s">
        <v>11</v>
      </c>
      <c r="D170" t="s">
        <v>22</v>
      </c>
      <c r="E170" t="s">
        <v>13</v>
      </c>
      <c r="F170" t="s">
        <v>37</v>
      </c>
      <c r="G170">
        <v>2</v>
      </c>
      <c r="H170">
        <v>60</v>
      </c>
      <c r="I170">
        <v>15</v>
      </c>
    </row>
    <row r="171" spans="1:9" x14ac:dyDescent="0.3">
      <c r="A171" t="s">
        <v>343</v>
      </c>
      <c r="B171" t="s">
        <v>344</v>
      </c>
      <c r="C171" t="s">
        <v>17</v>
      </c>
      <c r="D171" t="s">
        <v>61</v>
      </c>
      <c r="E171" t="s">
        <v>30</v>
      </c>
      <c r="F171" t="s">
        <v>37</v>
      </c>
      <c r="G171">
        <v>42</v>
      </c>
      <c r="H171">
        <v>40.5</v>
      </c>
      <c r="I171">
        <v>20</v>
      </c>
    </row>
    <row r="172" spans="1:9" x14ac:dyDescent="0.3">
      <c r="A172" t="s">
        <v>345</v>
      </c>
      <c r="B172" t="s">
        <v>110</v>
      </c>
      <c r="D172" t="s">
        <v>34</v>
      </c>
      <c r="E172" t="s">
        <v>47</v>
      </c>
      <c r="F172" t="s">
        <v>31</v>
      </c>
      <c r="G172">
        <v>14</v>
      </c>
      <c r="H172">
        <v>180</v>
      </c>
      <c r="I172">
        <v>110</v>
      </c>
    </row>
    <row r="173" spans="1:9" x14ac:dyDescent="0.3">
      <c r="A173" t="s">
        <v>346</v>
      </c>
      <c r="B173" t="s">
        <v>91</v>
      </c>
      <c r="C173" t="s">
        <v>17</v>
      </c>
      <c r="D173" t="s">
        <v>29</v>
      </c>
      <c r="E173" t="s">
        <v>13</v>
      </c>
      <c r="F173" t="s">
        <v>24</v>
      </c>
      <c r="G173">
        <v>33</v>
      </c>
      <c r="H173">
        <v>225</v>
      </c>
      <c r="I173">
        <v>160</v>
      </c>
    </row>
    <row r="174" spans="1:9" x14ac:dyDescent="0.3">
      <c r="A174" t="s">
        <v>347</v>
      </c>
      <c r="B174" t="s">
        <v>348</v>
      </c>
      <c r="C174" t="s">
        <v>11</v>
      </c>
      <c r="D174" t="s">
        <v>46</v>
      </c>
      <c r="E174" t="s">
        <v>13</v>
      </c>
      <c r="G174">
        <v>34</v>
      </c>
      <c r="H174">
        <v>425</v>
      </c>
      <c r="I174">
        <v>120</v>
      </c>
    </row>
    <row r="175" spans="1:9" x14ac:dyDescent="0.3">
      <c r="A175" t="s">
        <v>349</v>
      </c>
      <c r="B175" t="s">
        <v>350</v>
      </c>
      <c r="C175" t="s">
        <v>50</v>
      </c>
      <c r="D175" t="s">
        <v>51</v>
      </c>
      <c r="E175" t="s">
        <v>30</v>
      </c>
      <c r="G175">
        <v>32</v>
      </c>
      <c r="H175">
        <v>80.75</v>
      </c>
      <c r="I175">
        <v>40</v>
      </c>
    </row>
    <row r="176" spans="1:9" x14ac:dyDescent="0.3">
      <c r="A176" t="s">
        <v>351</v>
      </c>
      <c r="B176" t="s">
        <v>352</v>
      </c>
      <c r="C176" t="s">
        <v>11</v>
      </c>
      <c r="D176" t="s">
        <v>22</v>
      </c>
      <c r="E176" t="s">
        <v>19</v>
      </c>
      <c r="F176" t="s">
        <v>24</v>
      </c>
      <c r="G176">
        <v>11</v>
      </c>
      <c r="H176">
        <v>60</v>
      </c>
      <c r="I176">
        <v>15</v>
      </c>
    </row>
    <row r="177" spans="1:9" x14ac:dyDescent="0.3">
      <c r="A177" t="s">
        <v>353</v>
      </c>
      <c r="B177" t="s">
        <v>354</v>
      </c>
      <c r="C177" t="s">
        <v>50</v>
      </c>
      <c r="D177" t="s">
        <v>108</v>
      </c>
      <c r="E177" t="s">
        <v>19</v>
      </c>
      <c r="F177" t="s">
        <v>40</v>
      </c>
      <c r="G177">
        <v>7</v>
      </c>
      <c r="H177">
        <v>108</v>
      </c>
      <c r="I177">
        <v>75</v>
      </c>
    </row>
    <row r="178" spans="1:9" x14ac:dyDescent="0.3">
      <c r="A178" t="s">
        <v>355</v>
      </c>
      <c r="B178" t="s">
        <v>45</v>
      </c>
      <c r="C178" t="s">
        <v>50</v>
      </c>
      <c r="D178" t="s">
        <v>51</v>
      </c>
      <c r="E178" t="s">
        <v>19</v>
      </c>
      <c r="F178" t="s">
        <v>14</v>
      </c>
      <c r="G178">
        <v>37</v>
      </c>
      <c r="H178">
        <v>85.5</v>
      </c>
      <c r="I178">
        <v>40</v>
      </c>
    </row>
    <row r="179" spans="1:9" x14ac:dyDescent="0.3">
      <c r="A179" t="s">
        <v>356</v>
      </c>
      <c r="B179" t="s">
        <v>254</v>
      </c>
      <c r="D179" t="s">
        <v>46</v>
      </c>
      <c r="E179" t="s">
        <v>13</v>
      </c>
      <c r="F179" t="s">
        <v>24</v>
      </c>
      <c r="G179">
        <v>2</v>
      </c>
      <c r="H179">
        <v>475</v>
      </c>
      <c r="I179">
        <v>120</v>
      </c>
    </row>
    <row r="180" spans="1:9" x14ac:dyDescent="0.3">
      <c r="A180" t="s">
        <v>357</v>
      </c>
      <c r="B180" t="s">
        <v>358</v>
      </c>
      <c r="C180" t="s">
        <v>11</v>
      </c>
      <c r="D180" t="s">
        <v>46</v>
      </c>
      <c r="E180" t="s">
        <v>13</v>
      </c>
      <c r="F180" t="s">
        <v>14</v>
      </c>
      <c r="G180">
        <v>21</v>
      </c>
      <c r="H180">
        <v>425</v>
      </c>
      <c r="I180">
        <v>120</v>
      </c>
    </row>
    <row r="181" spans="1:9" x14ac:dyDescent="0.3">
      <c r="A181" t="s">
        <v>359</v>
      </c>
      <c r="B181" t="s">
        <v>295</v>
      </c>
      <c r="C181" t="s">
        <v>11</v>
      </c>
      <c r="D181" t="s">
        <v>46</v>
      </c>
      <c r="E181" t="s">
        <v>30</v>
      </c>
      <c r="F181" t="s">
        <v>14</v>
      </c>
      <c r="G181">
        <v>18</v>
      </c>
      <c r="H181">
        <v>500</v>
      </c>
      <c r="I181">
        <v>120</v>
      </c>
    </row>
    <row r="182" spans="1:9" x14ac:dyDescent="0.3">
      <c r="A182" t="s">
        <v>72</v>
      </c>
      <c r="B182" t="s">
        <v>73</v>
      </c>
      <c r="C182" t="s">
        <v>17</v>
      </c>
      <c r="D182" t="s">
        <v>18</v>
      </c>
      <c r="E182" t="s">
        <v>30</v>
      </c>
      <c r="F182" t="s">
        <v>40</v>
      </c>
      <c r="G182">
        <v>9</v>
      </c>
      <c r="H182">
        <v>70</v>
      </c>
      <c r="I182">
        <v>32</v>
      </c>
    </row>
    <row r="183" spans="1:9" x14ac:dyDescent="0.3">
      <c r="A183" t="s">
        <v>117</v>
      </c>
      <c r="B183" t="s">
        <v>79</v>
      </c>
      <c r="C183" t="s">
        <v>17</v>
      </c>
      <c r="D183" t="s">
        <v>61</v>
      </c>
      <c r="E183" t="s">
        <v>118</v>
      </c>
      <c r="F183" t="s">
        <v>40</v>
      </c>
      <c r="G183">
        <v>12</v>
      </c>
      <c r="H183">
        <v>45</v>
      </c>
      <c r="I183">
        <v>20</v>
      </c>
    </row>
    <row r="184" spans="1:9" x14ac:dyDescent="0.3">
      <c r="A184" t="s">
        <v>314</v>
      </c>
      <c r="B184" t="s">
        <v>315</v>
      </c>
      <c r="C184" t="s">
        <v>50</v>
      </c>
      <c r="D184" t="s">
        <v>112</v>
      </c>
      <c r="E184" t="s">
        <v>30</v>
      </c>
      <c r="F184" t="s">
        <v>37</v>
      </c>
      <c r="G184">
        <v>34</v>
      </c>
      <c r="H184">
        <v>55.25</v>
      </c>
      <c r="I184">
        <v>28</v>
      </c>
    </row>
    <row r="185" spans="1:9" x14ac:dyDescent="0.3">
      <c r="A185" t="s">
        <v>186</v>
      </c>
      <c r="B185" t="s">
        <v>187</v>
      </c>
      <c r="C185" t="s">
        <v>11</v>
      </c>
      <c r="D185" t="s">
        <v>12</v>
      </c>
      <c r="E185" t="s">
        <v>19</v>
      </c>
      <c r="F185" t="s">
        <v>62</v>
      </c>
      <c r="G185">
        <v>33</v>
      </c>
      <c r="H185">
        <v>722.5</v>
      </c>
      <c r="I185">
        <v>200</v>
      </c>
    </row>
    <row r="186" spans="1:9" x14ac:dyDescent="0.3">
      <c r="A186" t="s">
        <v>299</v>
      </c>
      <c r="B186" t="s">
        <v>231</v>
      </c>
      <c r="C186" t="s">
        <v>50</v>
      </c>
      <c r="D186" t="s">
        <v>58</v>
      </c>
      <c r="E186" t="s">
        <v>102</v>
      </c>
      <c r="G186">
        <v>24</v>
      </c>
      <c r="H186">
        <v>320</v>
      </c>
      <c r="I186">
        <v>210</v>
      </c>
    </row>
    <row r="187" spans="1:9" x14ac:dyDescent="0.3">
      <c r="A187" t="s">
        <v>63</v>
      </c>
      <c r="B187" t="s">
        <v>64</v>
      </c>
      <c r="C187" t="s">
        <v>17</v>
      </c>
      <c r="D187" t="s">
        <v>29</v>
      </c>
      <c r="E187" t="s">
        <v>30</v>
      </c>
      <c r="F187" t="s">
        <v>24</v>
      </c>
      <c r="G187">
        <v>32</v>
      </c>
      <c r="H187">
        <v>225</v>
      </c>
      <c r="I187">
        <v>160</v>
      </c>
    </row>
  </sheetData>
  <sheetProtection algorithmName="SHA-512" hashValue="7A5M0tcOHnMQwbH0USIUBF0IBtuXxFwpTPzr74zqFte6sliKyp0DA8T3qAYdJiFhsd8FPuMCqwnwFMYPbF5l/w==" saltValue="Ufg+RnL6aaw5fUQWOJ+Gbw==" spinCount="100000"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7C9E-3F07-4C98-AA92-50A65C73D8FB}">
  <sheetPr>
    <tabColor theme="4" tint="0.79998168889431442"/>
  </sheetPr>
  <dimension ref="A1:B13"/>
  <sheetViews>
    <sheetView workbookViewId="0">
      <selection activeCell="L12" sqref="L12"/>
    </sheetView>
  </sheetViews>
  <sheetFormatPr defaultRowHeight="14.4" x14ac:dyDescent="0.3"/>
  <cols>
    <col min="1" max="1" width="12.6640625" customWidth="1"/>
    <col min="2" max="2" width="23.109375" bestFit="1" customWidth="1"/>
  </cols>
  <sheetData>
    <row r="1" spans="1:2" ht="15" thickBot="1" x14ac:dyDescent="0.35">
      <c r="A1" s="2" t="s">
        <v>2</v>
      </c>
      <c r="B1" s="2" t="s">
        <v>3</v>
      </c>
    </row>
    <row r="2" spans="1:2" ht="15" thickTop="1" x14ac:dyDescent="0.3">
      <c r="A2" s="4" t="s">
        <v>11</v>
      </c>
      <c r="B2" s="5" t="s">
        <v>22</v>
      </c>
    </row>
    <row r="3" spans="1:2" x14ac:dyDescent="0.3">
      <c r="A3" s="7" t="s">
        <v>50</v>
      </c>
      <c r="B3" s="8" t="s">
        <v>71</v>
      </c>
    </row>
    <row r="4" spans="1:2" x14ac:dyDescent="0.3">
      <c r="A4" s="7" t="s">
        <v>11</v>
      </c>
      <c r="B4" s="8" t="s">
        <v>12</v>
      </c>
    </row>
    <row r="5" spans="1:2" x14ac:dyDescent="0.3">
      <c r="A5" s="3" t="s">
        <v>17</v>
      </c>
      <c r="B5" s="6" t="s">
        <v>61</v>
      </c>
    </row>
    <row r="6" spans="1:2" x14ac:dyDescent="0.3">
      <c r="A6" s="3" t="s">
        <v>50</v>
      </c>
      <c r="B6" s="6" t="s">
        <v>58</v>
      </c>
    </row>
    <row r="7" spans="1:2" x14ac:dyDescent="0.3">
      <c r="A7" s="7" t="s">
        <v>17</v>
      </c>
      <c r="B7" s="8" t="s">
        <v>29</v>
      </c>
    </row>
    <row r="8" spans="1:2" x14ac:dyDescent="0.3">
      <c r="A8" s="3" t="s">
        <v>17</v>
      </c>
      <c r="B8" s="6" t="s">
        <v>34</v>
      </c>
    </row>
    <row r="9" spans="1:2" x14ac:dyDescent="0.3">
      <c r="A9" s="3" t="s">
        <v>50</v>
      </c>
      <c r="B9" s="6" t="s">
        <v>108</v>
      </c>
    </row>
    <row r="10" spans="1:2" x14ac:dyDescent="0.3">
      <c r="A10" s="3" t="s">
        <v>11</v>
      </c>
      <c r="B10" s="6" t="s">
        <v>46</v>
      </c>
    </row>
    <row r="11" spans="1:2" x14ac:dyDescent="0.3">
      <c r="A11" s="3" t="s">
        <v>17</v>
      </c>
      <c r="B11" s="6" t="s">
        <v>18</v>
      </c>
    </row>
    <row r="12" spans="1:2" x14ac:dyDescent="0.3">
      <c r="A12" s="7" t="s">
        <v>50</v>
      </c>
      <c r="B12" s="8" t="s">
        <v>51</v>
      </c>
    </row>
    <row r="13" spans="1:2" x14ac:dyDescent="0.3">
      <c r="A13" s="3" t="s">
        <v>50</v>
      </c>
      <c r="B13" s="6" t="s">
        <v>112</v>
      </c>
    </row>
  </sheetData>
  <sortState xmlns:xlrd2="http://schemas.microsoft.com/office/spreadsheetml/2017/richdata2" ref="A2:B13">
    <sortCondition ref="B2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60EE-91E1-4731-9AF4-4B70353BCFD1}">
  <sheetPr>
    <tabColor theme="6"/>
  </sheetPr>
  <dimension ref="A1:M184"/>
  <sheetViews>
    <sheetView zoomScale="72" workbookViewId="0">
      <pane ySplit="1" topLeftCell="A159" activePane="bottomLeft" state="frozen"/>
      <selection pane="bottomLeft" activeCell="J190" sqref="J190"/>
    </sheetView>
  </sheetViews>
  <sheetFormatPr defaultRowHeight="14.4" x14ac:dyDescent="0.3"/>
  <cols>
    <col min="1" max="1" width="18.21875" customWidth="1"/>
    <col min="2" max="2" width="15.5546875" style="1" customWidth="1"/>
    <col min="3" max="3" width="12.88671875" customWidth="1"/>
    <col min="4" max="4" width="23.109375" bestFit="1" customWidth="1"/>
    <col min="5" max="5" width="18.88671875" customWidth="1"/>
    <col min="6" max="6" width="15.88671875" customWidth="1"/>
    <col min="7" max="7" width="12.109375" customWidth="1"/>
    <col min="8" max="8" width="19.21875" customWidth="1"/>
    <col min="9" max="9" width="22.5546875" customWidth="1"/>
    <col min="10" max="11" width="18.5546875" customWidth="1"/>
    <col min="12" max="12" width="21.44140625" customWidth="1"/>
    <col min="13" max="13" width="25.77734375" bestFit="1" customWidth="1"/>
    <col min="14" max="14" width="18.109375" customWidth="1"/>
  </cols>
  <sheetData>
    <row r="1" spans="1:13" ht="15" thickBot="1" x14ac:dyDescent="0.35">
      <c r="A1" s="30" t="s">
        <v>0</v>
      </c>
      <c r="B1" s="31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3" t="s">
        <v>361</v>
      </c>
      <c r="K1" s="33" t="s">
        <v>362</v>
      </c>
      <c r="L1" s="33" t="s">
        <v>363</v>
      </c>
      <c r="M1" s="33" t="s">
        <v>364</v>
      </c>
    </row>
    <row r="2" spans="1:13" ht="15" thickTop="1" x14ac:dyDescent="0.3">
      <c r="A2" s="9" t="s">
        <v>9</v>
      </c>
      <c r="B2" s="10">
        <v>46276</v>
      </c>
      <c r="C2" s="11" t="str">
        <f>_xlfn.XLOOKUP(D2, LISTA_PRODOTTI!$B$2:$B$13, LISTA_PRODOTTI!$A$2:$A$13)</f>
        <v>Software</v>
      </c>
      <c r="D2" s="12" t="s">
        <v>12</v>
      </c>
      <c r="E2" s="12" t="s">
        <v>13</v>
      </c>
      <c r="F2" s="12" t="s">
        <v>14</v>
      </c>
      <c r="G2" s="13">
        <v>19</v>
      </c>
      <c r="H2" s="14">
        <v>850</v>
      </c>
      <c r="I2" s="15">
        <v>200</v>
      </c>
      <c r="J2" s="16">
        <f>H2*G2</f>
        <v>16150</v>
      </c>
      <c r="K2" s="16">
        <f>I2*G2</f>
        <v>3800</v>
      </c>
      <c r="L2" s="16">
        <f>J2-K2</f>
        <v>12350</v>
      </c>
      <c r="M2" s="17">
        <f>IF(AND(J2&lt;&gt;0, K2&lt;&gt;0), Table1[[#This Row],[PROFIT MARGIN (eur)]]/K2, 0)</f>
        <v>3.25</v>
      </c>
    </row>
    <row r="3" spans="1:13" x14ac:dyDescent="0.3">
      <c r="A3" s="18" t="s">
        <v>15</v>
      </c>
      <c r="B3" s="19">
        <v>46304</v>
      </c>
      <c r="C3" s="11" t="str">
        <f>_xlfn.XLOOKUP(D3, LISTA_PRODOTTI!$B$2:$B$13, LISTA_PRODOTTI!$A$2:$A$13)</f>
        <v>Arredo</v>
      </c>
      <c r="D3" s="20" t="s">
        <v>18</v>
      </c>
      <c r="E3" s="20" t="s">
        <v>19</v>
      </c>
      <c r="F3" s="20" t="s">
        <v>14</v>
      </c>
      <c r="G3" s="21">
        <v>21</v>
      </c>
      <c r="H3" s="22">
        <v>70</v>
      </c>
      <c r="I3" s="23">
        <v>32</v>
      </c>
      <c r="J3" s="16">
        <f t="shared" ref="J3:J66" si="0">H3*G3</f>
        <v>1470</v>
      </c>
      <c r="K3" s="16">
        <f t="shared" ref="K3:K66" si="1">I3*G3</f>
        <v>672</v>
      </c>
      <c r="L3" s="16">
        <f t="shared" ref="L3:L66" si="2">J3-K3</f>
        <v>798</v>
      </c>
      <c r="M3" s="17">
        <f>IF(AND(J3&lt;&gt;0, K3&lt;&gt;0), Table1[[#This Row],[PROFIT MARGIN (eur)]]/K3, 0)</f>
        <v>1.1875</v>
      </c>
    </row>
    <row r="4" spans="1:13" x14ac:dyDescent="0.3">
      <c r="A4" s="18" t="s">
        <v>20</v>
      </c>
      <c r="B4" s="19">
        <v>46222</v>
      </c>
      <c r="C4" s="11" t="str">
        <f>_xlfn.XLOOKUP(D4, LISTA_PRODOTTI!$B$2:$B$13, LISTA_PRODOTTI!$A$2:$A$13)</f>
        <v>Software</v>
      </c>
      <c r="D4" s="20" t="s">
        <v>22</v>
      </c>
      <c r="E4" s="20" t="s">
        <v>30</v>
      </c>
      <c r="F4" s="20" t="s">
        <v>24</v>
      </c>
      <c r="G4" s="21">
        <v>44</v>
      </c>
      <c r="H4" s="22">
        <v>54</v>
      </c>
      <c r="I4" s="23">
        <v>15</v>
      </c>
      <c r="J4" s="16">
        <f t="shared" si="0"/>
        <v>2376</v>
      </c>
      <c r="K4" s="16">
        <f t="shared" si="1"/>
        <v>660</v>
      </c>
      <c r="L4" s="16">
        <f t="shared" si="2"/>
        <v>1716</v>
      </c>
      <c r="M4" s="17">
        <f>IF(AND(J4&lt;&gt;0, K4&lt;&gt;0), Table1[[#This Row],[PROFIT MARGIN (eur)]]/K4, 0)</f>
        <v>2.6</v>
      </c>
    </row>
    <row r="5" spans="1:13" x14ac:dyDescent="0.3">
      <c r="A5" s="18" t="s">
        <v>25</v>
      </c>
      <c r="B5" s="19">
        <v>46194</v>
      </c>
      <c r="C5" s="11" t="str">
        <f>_xlfn.XLOOKUP(D5, LISTA_PRODOTTI!$B$2:$B$13, LISTA_PRODOTTI!$A$2:$A$13)</f>
        <v>Arredo</v>
      </c>
      <c r="D5" s="20" t="s">
        <v>18</v>
      </c>
      <c r="E5" s="20" t="s">
        <v>19</v>
      </c>
      <c r="F5" s="20" t="s">
        <v>14</v>
      </c>
      <c r="G5" s="21">
        <v>9</v>
      </c>
      <c r="H5" s="22">
        <v>70</v>
      </c>
      <c r="I5" s="23">
        <v>32</v>
      </c>
      <c r="J5" s="16">
        <f t="shared" si="0"/>
        <v>630</v>
      </c>
      <c r="K5" s="16">
        <f t="shared" si="1"/>
        <v>288</v>
      </c>
      <c r="L5" s="16">
        <f t="shared" si="2"/>
        <v>342</v>
      </c>
      <c r="M5" s="17">
        <f>IF(AND(J5&lt;&gt;0, K5&lt;&gt;0), Table1[[#This Row],[PROFIT MARGIN (eur)]]/K5, 0)</f>
        <v>1.1875</v>
      </c>
    </row>
    <row r="6" spans="1:13" x14ac:dyDescent="0.3">
      <c r="A6" s="18" t="s">
        <v>27</v>
      </c>
      <c r="B6" s="19">
        <v>46181</v>
      </c>
      <c r="C6" s="11" t="str">
        <f>_xlfn.XLOOKUP(D6, LISTA_PRODOTTI!$B$2:$B$13, LISTA_PRODOTTI!$A$2:$A$13)</f>
        <v>Arredo</v>
      </c>
      <c r="D6" s="20" t="s">
        <v>29</v>
      </c>
      <c r="E6" s="20" t="s">
        <v>30</v>
      </c>
      <c r="F6" s="20" t="s">
        <v>31</v>
      </c>
      <c r="G6" s="21">
        <v>2</v>
      </c>
      <c r="H6" s="22">
        <v>237.5</v>
      </c>
      <c r="I6" s="23">
        <v>160</v>
      </c>
      <c r="J6" s="16">
        <f t="shared" si="0"/>
        <v>475</v>
      </c>
      <c r="K6" s="16">
        <f t="shared" si="1"/>
        <v>320</v>
      </c>
      <c r="L6" s="16">
        <f t="shared" si="2"/>
        <v>155</v>
      </c>
      <c r="M6" s="17">
        <f>IF(AND(J6&lt;&gt;0, K6&lt;&gt;0), Table1[[#This Row],[PROFIT MARGIN (eur)]]/K6, 0)</f>
        <v>0.484375</v>
      </c>
    </row>
    <row r="7" spans="1:13" x14ac:dyDescent="0.3">
      <c r="A7" s="18" t="s">
        <v>32</v>
      </c>
      <c r="B7" s="19">
        <v>46319</v>
      </c>
      <c r="C7" s="11" t="str">
        <f>_xlfn.XLOOKUP(D7, LISTA_PRODOTTI!$B$2:$B$13, LISTA_PRODOTTI!$A$2:$A$13)</f>
        <v>Arredo</v>
      </c>
      <c r="D7" s="20" t="s">
        <v>34</v>
      </c>
      <c r="E7" s="20" t="s">
        <v>19</v>
      </c>
      <c r="F7" s="20" t="s">
        <v>360</v>
      </c>
      <c r="G7" s="21">
        <v>23</v>
      </c>
      <c r="H7" s="22">
        <v>162</v>
      </c>
      <c r="I7" s="23">
        <v>110</v>
      </c>
      <c r="J7" s="16">
        <f t="shared" si="0"/>
        <v>3726</v>
      </c>
      <c r="K7" s="16">
        <f t="shared" si="1"/>
        <v>2530</v>
      </c>
      <c r="L7" s="16">
        <f t="shared" si="2"/>
        <v>1196</v>
      </c>
      <c r="M7" s="17">
        <f>IF(AND(J7&lt;&gt;0, K7&lt;&gt;0), Table1[[#This Row],[PROFIT MARGIN (eur)]]/K7, 0)</f>
        <v>0.47272727272727272</v>
      </c>
    </row>
    <row r="8" spans="1:13" x14ac:dyDescent="0.3">
      <c r="A8" s="18" t="s">
        <v>35</v>
      </c>
      <c r="B8" s="19">
        <v>46255</v>
      </c>
      <c r="C8" s="11" t="str">
        <f>_xlfn.XLOOKUP(D8, LISTA_PRODOTTI!$B$2:$B$13, LISTA_PRODOTTI!$A$2:$A$13)</f>
        <v>Arredo</v>
      </c>
      <c r="D8" s="20" t="s">
        <v>29</v>
      </c>
      <c r="E8" s="20" t="s">
        <v>30</v>
      </c>
      <c r="F8" s="20" t="s">
        <v>37</v>
      </c>
      <c r="G8" s="21">
        <v>41</v>
      </c>
      <c r="H8" s="22">
        <v>212.5</v>
      </c>
      <c r="I8" s="23">
        <v>160</v>
      </c>
      <c r="J8" s="16">
        <f t="shared" si="0"/>
        <v>8712.5</v>
      </c>
      <c r="K8" s="16">
        <f t="shared" si="1"/>
        <v>6560</v>
      </c>
      <c r="L8" s="16">
        <f t="shared" si="2"/>
        <v>2152.5</v>
      </c>
      <c r="M8" s="17">
        <f>IF(AND(J8&lt;&gt;0, K8&lt;&gt;0), Table1[[#This Row],[PROFIT MARGIN (eur)]]/K8, 0)</f>
        <v>0.328125</v>
      </c>
    </row>
    <row r="9" spans="1:13" x14ac:dyDescent="0.3">
      <c r="A9" s="18" t="s">
        <v>38</v>
      </c>
      <c r="B9" s="19">
        <v>46261</v>
      </c>
      <c r="C9" s="11" t="str">
        <f>_xlfn.XLOOKUP(D9, LISTA_PRODOTTI!$B$2:$B$13, LISTA_PRODOTTI!$A$2:$A$13)</f>
        <v>Software</v>
      </c>
      <c r="D9" s="20" t="s">
        <v>12</v>
      </c>
      <c r="E9" s="20" t="s">
        <v>30</v>
      </c>
      <c r="F9" s="20" t="s">
        <v>40</v>
      </c>
      <c r="G9" s="21">
        <v>35</v>
      </c>
      <c r="H9" s="22">
        <v>850</v>
      </c>
      <c r="I9" s="23">
        <v>200</v>
      </c>
      <c r="J9" s="16">
        <f t="shared" si="0"/>
        <v>29750</v>
      </c>
      <c r="K9" s="16">
        <f t="shared" si="1"/>
        <v>7000</v>
      </c>
      <c r="L9" s="16">
        <f t="shared" si="2"/>
        <v>22750</v>
      </c>
      <c r="M9" s="17">
        <f>IF(AND(J9&lt;&gt;0, K9&lt;&gt;0), Table1[[#This Row],[PROFIT MARGIN (eur)]]/K9, 0)</f>
        <v>3.25</v>
      </c>
    </row>
    <row r="10" spans="1:13" x14ac:dyDescent="0.3">
      <c r="A10" s="18" t="s">
        <v>41</v>
      </c>
      <c r="B10" s="19">
        <v>46201</v>
      </c>
      <c r="C10" s="11" t="str">
        <f>_xlfn.XLOOKUP(D10, LISTA_PRODOTTI!$B$2:$B$13, LISTA_PRODOTTI!$A$2:$A$13)</f>
        <v>Arredo</v>
      </c>
      <c r="D10" s="20" t="s">
        <v>29</v>
      </c>
      <c r="E10" s="20" t="s">
        <v>47</v>
      </c>
      <c r="F10" s="20" t="s">
        <v>24</v>
      </c>
      <c r="G10" s="21">
        <v>24</v>
      </c>
      <c r="H10" s="22">
        <v>212.5</v>
      </c>
      <c r="I10" s="23">
        <v>160</v>
      </c>
      <c r="J10" s="16">
        <f t="shared" si="0"/>
        <v>5100</v>
      </c>
      <c r="K10" s="16">
        <f t="shared" si="1"/>
        <v>3840</v>
      </c>
      <c r="L10" s="16">
        <f t="shared" si="2"/>
        <v>1260</v>
      </c>
      <c r="M10" s="17">
        <f>IF(AND(J10&lt;&gt;0, K10&lt;&gt;0), Table1[[#This Row],[PROFIT MARGIN (eur)]]/K10, 0)</f>
        <v>0.328125</v>
      </c>
    </row>
    <row r="11" spans="1:13" x14ac:dyDescent="0.3">
      <c r="A11" s="18" t="s">
        <v>44</v>
      </c>
      <c r="B11" s="19">
        <v>46274</v>
      </c>
      <c r="C11" s="11" t="str">
        <f>_xlfn.XLOOKUP(D11, LISTA_PRODOTTI!$B$2:$B$13, LISTA_PRODOTTI!$A$2:$A$13)</f>
        <v>Software</v>
      </c>
      <c r="D11" s="20" t="s">
        <v>46</v>
      </c>
      <c r="E11" s="20" t="s">
        <v>47</v>
      </c>
      <c r="F11" s="20" t="s">
        <v>24</v>
      </c>
      <c r="G11" s="21">
        <v>0</v>
      </c>
      <c r="H11" s="22">
        <v>500</v>
      </c>
      <c r="I11" s="23">
        <v>120</v>
      </c>
      <c r="J11" s="16">
        <f t="shared" si="0"/>
        <v>0</v>
      </c>
      <c r="K11" s="16">
        <f t="shared" si="1"/>
        <v>0</v>
      </c>
      <c r="L11" s="16">
        <f t="shared" si="2"/>
        <v>0</v>
      </c>
      <c r="M11" s="17">
        <f>IF(AND(J11&lt;&gt;0, K11&lt;&gt;0), Table1[[#This Row],[PROFIT MARGIN (eur)]]/K11, 0)</f>
        <v>0</v>
      </c>
    </row>
    <row r="12" spans="1:13" x14ac:dyDescent="0.3">
      <c r="A12" s="18" t="s">
        <v>48</v>
      </c>
      <c r="B12" s="19">
        <v>46236</v>
      </c>
      <c r="C12" s="11" t="str">
        <f>_xlfn.XLOOKUP(D12, LISTA_PRODOTTI!$B$2:$B$13, LISTA_PRODOTTI!$A$2:$A$13)</f>
        <v>Elettronica</v>
      </c>
      <c r="D12" s="20" t="s">
        <v>51</v>
      </c>
      <c r="E12" s="20" t="s">
        <v>30</v>
      </c>
      <c r="F12" s="20" t="s">
        <v>24</v>
      </c>
      <c r="G12" s="21">
        <v>37</v>
      </c>
      <c r="H12" s="22">
        <v>80.75</v>
      </c>
      <c r="I12" s="23">
        <v>40</v>
      </c>
      <c r="J12" s="16">
        <f t="shared" si="0"/>
        <v>2987.75</v>
      </c>
      <c r="K12" s="16">
        <f t="shared" si="1"/>
        <v>1480</v>
      </c>
      <c r="L12" s="16">
        <f t="shared" si="2"/>
        <v>1507.75</v>
      </c>
      <c r="M12" s="17">
        <f>IF(AND(J12&lt;&gt;0, K12&lt;&gt;0), Table1[[#This Row],[PROFIT MARGIN (eur)]]/K12, 0)</f>
        <v>1.01875</v>
      </c>
    </row>
    <row r="13" spans="1:13" x14ac:dyDescent="0.3">
      <c r="A13" s="18" t="s">
        <v>52</v>
      </c>
      <c r="B13" s="19">
        <v>46244</v>
      </c>
      <c r="C13" s="11" t="str">
        <f>_xlfn.XLOOKUP(D13, LISTA_PRODOTTI!$B$2:$B$13, LISTA_PRODOTTI!$A$2:$A$13)</f>
        <v>Arredo</v>
      </c>
      <c r="D13" s="20" t="s">
        <v>18</v>
      </c>
      <c r="E13" s="20" t="s">
        <v>13</v>
      </c>
      <c r="F13" s="20" t="s">
        <v>24</v>
      </c>
      <c r="G13" s="21">
        <v>6</v>
      </c>
      <c r="H13" s="22">
        <v>63</v>
      </c>
      <c r="I13" s="23">
        <v>32</v>
      </c>
      <c r="J13" s="16">
        <f t="shared" si="0"/>
        <v>378</v>
      </c>
      <c r="K13" s="16">
        <f t="shared" si="1"/>
        <v>192</v>
      </c>
      <c r="L13" s="16">
        <f t="shared" si="2"/>
        <v>186</v>
      </c>
      <c r="M13" s="17">
        <f>IF(AND(J13&lt;&gt;0, K13&lt;&gt;0), Table1[[#This Row],[PROFIT MARGIN (eur)]]/K13, 0)</f>
        <v>0.96875</v>
      </c>
    </row>
    <row r="14" spans="1:13" x14ac:dyDescent="0.3">
      <c r="A14" s="18" t="s">
        <v>54</v>
      </c>
      <c r="B14" s="19">
        <v>46248</v>
      </c>
      <c r="C14" s="11" t="str">
        <f>_xlfn.XLOOKUP(D14, LISTA_PRODOTTI!$B$2:$B$13, LISTA_PRODOTTI!$A$2:$A$13)</f>
        <v>Software</v>
      </c>
      <c r="D14" s="20" t="s">
        <v>46</v>
      </c>
      <c r="E14" s="20" t="s">
        <v>13</v>
      </c>
      <c r="F14" s="20" t="s">
        <v>360</v>
      </c>
      <c r="G14" s="21">
        <v>27</v>
      </c>
      <c r="H14" s="22">
        <v>475</v>
      </c>
      <c r="I14" s="23">
        <v>120</v>
      </c>
      <c r="J14" s="16">
        <f t="shared" si="0"/>
        <v>12825</v>
      </c>
      <c r="K14" s="16">
        <f t="shared" si="1"/>
        <v>3240</v>
      </c>
      <c r="L14" s="16">
        <f t="shared" si="2"/>
        <v>9585</v>
      </c>
      <c r="M14" s="17">
        <f>IF(AND(J14&lt;&gt;0, K14&lt;&gt;0), Table1[[#This Row],[PROFIT MARGIN (eur)]]/K14, 0)</f>
        <v>2.9583333333333335</v>
      </c>
    </row>
    <row r="15" spans="1:13" x14ac:dyDescent="0.3">
      <c r="A15" s="18" t="s">
        <v>56</v>
      </c>
      <c r="B15" s="19">
        <v>46310</v>
      </c>
      <c r="C15" s="11" t="str">
        <f>_xlfn.XLOOKUP(D15, LISTA_PRODOTTI!$B$2:$B$13, LISTA_PRODOTTI!$A$2:$A$13)</f>
        <v>Elettronica</v>
      </c>
      <c r="D15" s="20" t="s">
        <v>58</v>
      </c>
      <c r="E15" s="20" t="s">
        <v>30</v>
      </c>
      <c r="F15" s="20" t="s">
        <v>40</v>
      </c>
      <c r="G15" s="21">
        <v>32</v>
      </c>
      <c r="H15" s="22">
        <v>320</v>
      </c>
      <c r="I15" s="23">
        <v>210</v>
      </c>
      <c r="J15" s="16">
        <f t="shared" si="0"/>
        <v>10240</v>
      </c>
      <c r="K15" s="16">
        <f t="shared" si="1"/>
        <v>6720</v>
      </c>
      <c r="L15" s="16">
        <f t="shared" si="2"/>
        <v>3520</v>
      </c>
      <c r="M15" s="17">
        <f>IF(AND(J15&lt;&gt;0, K15&lt;&gt;0), Table1[[#This Row],[PROFIT MARGIN (eur)]]/K15, 0)</f>
        <v>0.52380952380952384</v>
      </c>
    </row>
    <row r="16" spans="1:13" x14ac:dyDescent="0.3">
      <c r="A16" s="18" t="s">
        <v>59</v>
      </c>
      <c r="B16" s="19">
        <v>46185</v>
      </c>
      <c r="C16" s="11" t="str">
        <f>_xlfn.XLOOKUP(D16, LISTA_PRODOTTI!$B$2:$B$13, LISTA_PRODOTTI!$A$2:$A$13)</f>
        <v>Arredo</v>
      </c>
      <c r="D16" s="20" t="s">
        <v>61</v>
      </c>
      <c r="E16" s="20" t="s">
        <v>13</v>
      </c>
      <c r="F16" s="20" t="s">
        <v>62</v>
      </c>
      <c r="G16" s="21">
        <v>2</v>
      </c>
      <c r="H16" s="22">
        <v>45</v>
      </c>
      <c r="I16" s="23">
        <v>20</v>
      </c>
      <c r="J16" s="16">
        <f t="shared" si="0"/>
        <v>90</v>
      </c>
      <c r="K16" s="16">
        <f t="shared" si="1"/>
        <v>40</v>
      </c>
      <c r="L16" s="16">
        <f t="shared" si="2"/>
        <v>50</v>
      </c>
      <c r="M16" s="17">
        <f>IF(AND(J16&lt;&gt;0, K16&lt;&gt;0), Table1[[#This Row],[PROFIT MARGIN (eur)]]/K16, 0)</f>
        <v>1.25</v>
      </c>
    </row>
    <row r="17" spans="1:13" x14ac:dyDescent="0.3">
      <c r="A17" s="18" t="s">
        <v>63</v>
      </c>
      <c r="B17" s="19">
        <v>46302</v>
      </c>
      <c r="C17" s="11" t="str">
        <f>_xlfn.XLOOKUP(D17, LISTA_PRODOTTI!$B$2:$B$13, LISTA_PRODOTTI!$A$2:$A$13)</f>
        <v>Arredo</v>
      </c>
      <c r="D17" s="20" t="s">
        <v>29</v>
      </c>
      <c r="E17" s="20" t="s">
        <v>30</v>
      </c>
      <c r="F17" s="20" t="s">
        <v>24</v>
      </c>
      <c r="G17" s="21">
        <v>32</v>
      </c>
      <c r="H17" s="22">
        <v>225</v>
      </c>
      <c r="I17" s="23">
        <v>160</v>
      </c>
      <c r="J17" s="16">
        <f t="shared" si="0"/>
        <v>7200</v>
      </c>
      <c r="K17" s="16">
        <f t="shared" si="1"/>
        <v>5120</v>
      </c>
      <c r="L17" s="16">
        <f t="shared" si="2"/>
        <v>2080</v>
      </c>
      <c r="M17" s="17">
        <f>IF(AND(J17&lt;&gt;0, K17&lt;&gt;0), Table1[[#This Row],[PROFIT MARGIN (eur)]]/K17, 0)</f>
        <v>0.40625</v>
      </c>
    </row>
    <row r="18" spans="1:13" x14ac:dyDescent="0.3">
      <c r="A18" s="18" t="s">
        <v>65</v>
      </c>
      <c r="B18" s="19">
        <v>46211</v>
      </c>
      <c r="C18" s="11" t="str">
        <f>_xlfn.XLOOKUP(D18, LISTA_PRODOTTI!$B$2:$B$13, LISTA_PRODOTTI!$A$2:$A$13)</f>
        <v>Arredo</v>
      </c>
      <c r="D18" s="20" t="s">
        <v>34</v>
      </c>
      <c r="E18" s="20" t="s">
        <v>47</v>
      </c>
      <c r="F18" s="20" t="s">
        <v>62</v>
      </c>
      <c r="G18" s="21">
        <v>9</v>
      </c>
      <c r="H18" s="22">
        <v>162</v>
      </c>
      <c r="I18" s="23">
        <v>110</v>
      </c>
      <c r="J18" s="16">
        <f t="shared" si="0"/>
        <v>1458</v>
      </c>
      <c r="K18" s="16">
        <f t="shared" si="1"/>
        <v>990</v>
      </c>
      <c r="L18" s="16">
        <f t="shared" si="2"/>
        <v>468</v>
      </c>
      <c r="M18" s="17">
        <f>IF(AND(J18&lt;&gt;0, K18&lt;&gt;0), Table1[[#This Row],[PROFIT MARGIN (eur)]]/K18, 0)</f>
        <v>0.47272727272727272</v>
      </c>
    </row>
    <row r="19" spans="1:13" x14ac:dyDescent="0.3">
      <c r="A19" s="18" t="s">
        <v>67</v>
      </c>
      <c r="B19" s="19">
        <v>46320</v>
      </c>
      <c r="C19" s="11" t="str">
        <f>_xlfn.XLOOKUP(D19, LISTA_PRODOTTI!$B$2:$B$13, LISTA_PRODOTTI!$A$2:$A$13)</f>
        <v>Software</v>
      </c>
      <c r="D19" s="20" t="s">
        <v>12</v>
      </c>
      <c r="E19" s="20" t="s">
        <v>47</v>
      </c>
      <c r="F19" s="20" t="s">
        <v>31</v>
      </c>
      <c r="G19" s="21">
        <v>41</v>
      </c>
      <c r="H19" s="22">
        <v>850</v>
      </c>
      <c r="I19" s="23">
        <v>200</v>
      </c>
      <c r="J19" s="16">
        <f t="shared" si="0"/>
        <v>34850</v>
      </c>
      <c r="K19" s="16">
        <f t="shared" si="1"/>
        <v>8200</v>
      </c>
      <c r="L19" s="16">
        <f t="shared" si="2"/>
        <v>26650</v>
      </c>
      <c r="M19" s="17">
        <f>IF(AND(J19&lt;&gt;0, K19&lt;&gt;0), Table1[[#This Row],[PROFIT MARGIN (eur)]]/K19, 0)</f>
        <v>3.25</v>
      </c>
    </row>
    <row r="20" spans="1:13" x14ac:dyDescent="0.3">
      <c r="A20" s="18" t="s">
        <v>69</v>
      </c>
      <c r="B20" s="19">
        <v>46184</v>
      </c>
      <c r="C20" s="11" t="str">
        <f>_xlfn.XLOOKUP(D20, LISTA_PRODOTTI!$B$2:$B$13, LISTA_PRODOTTI!$A$2:$A$13)</f>
        <v>Elettronica</v>
      </c>
      <c r="D20" s="20" t="s">
        <v>71</v>
      </c>
      <c r="E20" s="20" t="s">
        <v>19</v>
      </c>
      <c r="F20" s="20" t="s">
        <v>14</v>
      </c>
      <c r="G20" s="21">
        <v>35</v>
      </c>
      <c r="H20" s="22">
        <v>76.5</v>
      </c>
      <c r="I20" s="23">
        <v>45</v>
      </c>
      <c r="J20" s="16">
        <f t="shared" si="0"/>
        <v>2677.5</v>
      </c>
      <c r="K20" s="16">
        <f t="shared" si="1"/>
        <v>1575</v>
      </c>
      <c r="L20" s="16">
        <f t="shared" si="2"/>
        <v>1102.5</v>
      </c>
      <c r="M20" s="17">
        <f>IF(AND(J20&lt;&gt;0, K20&lt;&gt;0), Table1[[#This Row],[PROFIT MARGIN (eur)]]/K20, 0)</f>
        <v>0.7</v>
      </c>
    </row>
    <row r="21" spans="1:13" x14ac:dyDescent="0.3">
      <c r="A21" s="18" t="s">
        <v>72</v>
      </c>
      <c r="B21" s="19">
        <v>46286</v>
      </c>
      <c r="C21" s="11" t="str">
        <f>_xlfn.XLOOKUP(D21, LISTA_PRODOTTI!$B$2:$B$13, LISTA_PRODOTTI!$A$2:$A$13)</f>
        <v>Arredo</v>
      </c>
      <c r="D21" s="20" t="s">
        <v>18</v>
      </c>
      <c r="E21" s="20" t="s">
        <v>30</v>
      </c>
      <c r="F21" s="20" t="s">
        <v>40</v>
      </c>
      <c r="G21" s="21">
        <v>9</v>
      </c>
      <c r="H21" s="22">
        <v>70</v>
      </c>
      <c r="I21" s="23">
        <v>32</v>
      </c>
      <c r="J21" s="16">
        <f t="shared" si="0"/>
        <v>630</v>
      </c>
      <c r="K21" s="16">
        <f t="shared" si="1"/>
        <v>288</v>
      </c>
      <c r="L21" s="16">
        <f t="shared" si="2"/>
        <v>342</v>
      </c>
      <c r="M21" s="17">
        <f>IF(AND(J21&lt;&gt;0, K21&lt;&gt;0), Table1[[#This Row],[PROFIT MARGIN (eur)]]/K21, 0)</f>
        <v>1.1875</v>
      </c>
    </row>
    <row r="22" spans="1:13" x14ac:dyDescent="0.3">
      <c r="A22" s="18" t="s">
        <v>74</v>
      </c>
      <c r="B22" s="19">
        <v>46227</v>
      </c>
      <c r="C22" s="11" t="str">
        <f>_xlfn.XLOOKUP(D22, LISTA_PRODOTTI!$B$2:$B$13, LISTA_PRODOTTI!$A$2:$A$13)</f>
        <v>Software</v>
      </c>
      <c r="D22" s="20" t="s">
        <v>46</v>
      </c>
      <c r="E22" s="20" t="s">
        <v>19</v>
      </c>
      <c r="F22" s="20" t="s">
        <v>31</v>
      </c>
      <c r="G22" s="21">
        <v>35</v>
      </c>
      <c r="H22" s="22">
        <v>475</v>
      </c>
      <c r="I22" s="23">
        <v>120</v>
      </c>
      <c r="J22" s="16">
        <f t="shared" si="0"/>
        <v>16625</v>
      </c>
      <c r="K22" s="16">
        <f t="shared" si="1"/>
        <v>4200</v>
      </c>
      <c r="L22" s="16">
        <f t="shared" si="2"/>
        <v>12425</v>
      </c>
      <c r="M22" s="17">
        <f>IF(AND(J22&lt;&gt;0, K22&lt;&gt;0), Table1[[#This Row],[PROFIT MARGIN (eur)]]/K22, 0)</f>
        <v>2.9583333333333335</v>
      </c>
    </row>
    <row r="23" spans="1:13" x14ac:dyDescent="0.3">
      <c r="A23" s="18" t="s">
        <v>76</v>
      </c>
      <c r="B23" s="19">
        <v>46283</v>
      </c>
      <c r="C23" s="11" t="str">
        <f>_xlfn.XLOOKUP(D23, LISTA_PRODOTTI!$B$2:$B$13, LISTA_PRODOTTI!$A$2:$A$13)</f>
        <v>Arredo</v>
      </c>
      <c r="D23" s="20" t="s">
        <v>61</v>
      </c>
      <c r="E23" s="20" t="s">
        <v>13</v>
      </c>
      <c r="F23" s="20" t="s">
        <v>31</v>
      </c>
      <c r="G23" s="21">
        <v>33</v>
      </c>
      <c r="H23" s="22">
        <v>40.5</v>
      </c>
      <c r="I23" s="23">
        <v>20</v>
      </c>
      <c r="J23" s="16">
        <f t="shared" si="0"/>
        <v>1336.5</v>
      </c>
      <c r="K23" s="16">
        <f t="shared" si="1"/>
        <v>660</v>
      </c>
      <c r="L23" s="16">
        <f t="shared" si="2"/>
        <v>676.5</v>
      </c>
      <c r="M23" s="17">
        <f>IF(AND(J23&lt;&gt;0, K23&lt;&gt;0), Table1[[#This Row],[PROFIT MARGIN (eur)]]/K23, 0)</f>
        <v>1.0249999999999999</v>
      </c>
    </row>
    <row r="24" spans="1:13" x14ac:dyDescent="0.3">
      <c r="A24" s="18" t="s">
        <v>78</v>
      </c>
      <c r="B24" s="19">
        <v>46301</v>
      </c>
      <c r="C24" s="11" t="str">
        <f>_xlfn.XLOOKUP(D24, LISTA_PRODOTTI!$B$2:$B$13, LISTA_PRODOTTI!$A$2:$A$13)</f>
        <v>Software</v>
      </c>
      <c r="D24" s="20" t="s">
        <v>46</v>
      </c>
      <c r="E24" s="20" t="s">
        <v>30</v>
      </c>
      <c r="F24" s="20" t="s">
        <v>31</v>
      </c>
      <c r="G24" s="21">
        <v>22</v>
      </c>
      <c r="H24" s="22">
        <v>475</v>
      </c>
      <c r="I24" s="23">
        <v>120</v>
      </c>
      <c r="J24" s="16">
        <f t="shared" si="0"/>
        <v>10450</v>
      </c>
      <c r="K24" s="16">
        <f t="shared" si="1"/>
        <v>2640</v>
      </c>
      <c r="L24" s="16">
        <f t="shared" si="2"/>
        <v>7810</v>
      </c>
      <c r="M24" s="17">
        <f>IF(AND(J24&lt;&gt;0, K24&lt;&gt;0), Table1[[#This Row],[PROFIT MARGIN (eur)]]/K24, 0)</f>
        <v>2.9583333333333335</v>
      </c>
    </row>
    <row r="25" spans="1:13" x14ac:dyDescent="0.3">
      <c r="A25" s="18" t="s">
        <v>80</v>
      </c>
      <c r="B25" s="19">
        <v>46181</v>
      </c>
      <c r="C25" s="11" t="str">
        <f>_xlfn.XLOOKUP(D25, LISTA_PRODOTTI!$B$2:$B$13, LISTA_PRODOTTI!$A$2:$A$13)</f>
        <v>Arredo</v>
      </c>
      <c r="D25" s="20" t="s">
        <v>29</v>
      </c>
      <c r="E25" s="20" t="s">
        <v>30</v>
      </c>
      <c r="F25" s="20" t="s">
        <v>62</v>
      </c>
      <c r="G25" s="21">
        <v>0</v>
      </c>
      <c r="H25" s="22">
        <v>225</v>
      </c>
      <c r="I25" s="23">
        <v>160</v>
      </c>
      <c r="J25" s="16">
        <f t="shared" si="0"/>
        <v>0</v>
      </c>
      <c r="K25" s="16">
        <f t="shared" si="1"/>
        <v>0</v>
      </c>
      <c r="L25" s="16">
        <f t="shared" si="2"/>
        <v>0</v>
      </c>
      <c r="M25" s="17">
        <f>IF(AND(J25&lt;&gt;0, K25&lt;&gt;0), Table1[[#This Row],[PROFIT MARGIN (eur)]]/K25, 0)</f>
        <v>0</v>
      </c>
    </row>
    <row r="26" spans="1:13" x14ac:dyDescent="0.3">
      <c r="A26" s="18" t="s">
        <v>82</v>
      </c>
      <c r="B26" s="19">
        <v>46222</v>
      </c>
      <c r="C26" s="11" t="str">
        <f>_xlfn.XLOOKUP(D26, LISTA_PRODOTTI!$B$2:$B$13, LISTA_PRODOTTI!$A$2:$A$13)</f>
        <v>Arredo</v>
      </c>
      <c r="D26" s="20" t="s">
        <v>29</v>
      </c>
      <c r="E26" s="20" t="s">
        <v>19</v>
      </c>
      <c r="F26" s="20" t="s">
        <v>40</v>
      </c>
      <c r="G26" s="21">
        <v>41</v>
      </c>
      <c r="H26" s="22">
        <v>212.5</v>
      </c>
      <c r="I26" s="23">
        <v>160</v>
      </c>
      <c r="J26" s="16">
        <f t="shared" si="0"/>
        <v>8712.5</v>
      </c>
      <c r="K26" s="16">
        <f t="shared" si="1"/>
        <v>6560</v>
      </c>
      <c r="L26" s="16">
        <f t="shared" si="2"/>
        <v>2152.5</v>
      </c>
      <c r="M26" s="17">
        <f>IF(AND(J26&lt;&gt;0, K26&lt;&gt;0), Table1[[#This Row],[PROFIT MARGIN (eur)]]/K26, 0)</f>
        <v>0.328125</v>
      </c>
    </row>
    <row r="27" spans="1:13" x14ac:dyDescent="0.3">
      <c r="A27" s="18" t="s">
        <v>84</v>
      </c>
      <c r="B27" s="19">
        <v>46272</v>
      </c>
      <c r="C27" s="11" t="str">
        <f>_xlfn.XLOOKUP(D27, LISTA_PRODOTTI!$B$2:$B$13, LISTA_PRODOTTI!$A$2:$A$13)</f>
        <v>Software</v>
      </c>
      <c r="D27" s="20" t="s">
        <v>46</v>
      </c>
      <c r="E27" s="20" t="s">
        <v>47</v>
      </c>
      <c r="F27" s="20" t="s">
        <v>62</v>
      </c>
      <c r="G27" s="21">
        <v>3</v>
      </c>
      <c r="H27" s="22">
        <v>500</v>
      </c>
      <c r="I27" s="23">
        <v>120</v>
      </c>
      <c r="J27" s="16">
        <f t="shared" si="0"/>
        <v>1500</v>
      </c>
      <c r="K27" s="16">
        <f t="shared" si="1"/>
        <v>360</v>
      </c>
      <c r="L27" s="16">
        <f t="shared" si="2"/>
        <v>1140</v>
      </c>
      <c r="M27" s="17">
        <f>IF(AND(J27&lt;&gt;0, K27&lt;&gt;0), Table1[[#This Row],[PROFIT MARGIN (eur)]]/K27, 0)</f>
        <v>3.1666666666666665</v>
      </c>
    </row>
    <row r="28" spans="1:13" x14ac:dyDescent="0.3">
      <c r="A28" s="18" t="s">
        <v>86</v>
      </c>
      <c r="B28" s="19">
        <v>46277</v>
      </c>
      <c r="C28" s="11" t="str">
        <f>_xlfn.XLOOKUP(D28, LISTA_PRODOTTI!$B$2:$B$13, LISTA_PRODOTTI!$A$2:$A$13)</f>
        <v>Arredo</v>
      </c>
      <c r="D28" s="20" t="s">
        <v>18</v>
      </c>
      <c r="E28" s="20" t="s">
        <v>47</v>
      </c>
      <c r="F28" s="20" t="s">
        <v>14</v>
      </c>
      <c r="G28" s="21">
        <v>27</v>
      </c>
      <c r="H28" s="22">
        <v>70</v>
      </c>
      <c r="I28" s="23">
        <v>32</v>
      </c>
      <c r="J28" s="16">
        <f t="shared" si="0"/>
        <v>1890</v>
      </c>
      <c r="K28" s="16">
        <f t="shared" si="1"/>
        <v>864</v>
      </c>
      <c r="L28" s="16">
        <f t="shared" si="2"/>
        <v>1026</v>
      </c>
      <c r="M28" s="17">
        <f>IF(AND(J28&lt;&gt;0, K28&lt;&gt;0), Table1[[#This Row],[PROFIT MARGIN (eur)]]/K28, 0)</f>
        <v>1.1875</v>
      </c>
    </row>
    <row r="29" spans="1:13" x14ac:dyDescent="0.3">
      <c r="A29" s="18" t="s">
        <v>88</v>
      </c>
      <c r="B29" s="19">
        <v>46216</v>
      </c>
      <c r="C29" s="11" t="str">
        <f>_xlfn.XLOOKUP(D29, LISTA_PRODOTTI!$B$2:$B$13, LISTA_PRODOTTI!$A$2:$A$13)</f>
        <v>Software</v>
      </c>
      <c r="D29" s="20" t="s">
        <v>46</v>
      </c>
      <c r="E29" s="20" t="s">
        <v>19</v>
      </c>
      <c r="F29" s="20" t="s">
        <v>40</v>
      </c>
      <c r="G29" s="21">
        <v>25</v>
      </c>
      <c r="H29" s="22">
        <v>425</v>
      </c>
      <c r="I29" s="23">
        <v>120</v>
      </c>
      <c r="J29" s="16">
        <f t="shared" si="0"/>
        <v>10625</v>
      </c>
      <c r="K29" s="16">
        <f t="shared" si="1"/>
        <v>3000</v>
      </c>
      <c r="L29" s="16">
        <f t="shared" si="2"/>
        <v>7625</v>
      </c>
      <c r="M29" s="17">
        <f>IF(AND(J29&lt;&gt;0, K29&lt;&gt;0), Table1[[#This Row],[PROFIT MARGIN (eur)]]/K29, 0)</f>
        <v>2.5416666666666665</v>
      </c>
    </row>
    <row r="30" spans="1:13" x14ac:dyDescent="0.3">
      <c r="A30" s="18" t="s">
        <v>90</v>
      </c>
      <c r="B30" s="19">
        <v>46193</v>
      </c>
      <c r="C30" s="11" t="str">
        <f>_xlfn.XLOOKUP(D30, LISTA_PRODOTTI!$B$2:$B$13, LISTA_PRODOTTI!$A$2:$A$13)</f>
        <v>Arredo</v>
      </c>
      <c r="D30" s="20" t="s">
        <v>18</v>
      </c>
      <c r="E30" s="20" t="s">
        <v>47</v>
      </c>
      <c r="F30" s="20" t="s">
        <v>31</v>
      </c>
      <c r="G30" s="21">
        <v>34</v>
      </c>
      <c r="H30" s="22">
        <v>70</v>
      </c>
      <c r="I30" s="23">
        <v>32</v>
      </c>
      <c r="J30" s="16">
        <f t="shared" si="0"/>
        <v>2380</v>
      </c>
      <c r="K30" s="16">
        <f t="shared" si="1"/>
        <v>1088</v>
      </c>
      <c r="L30" s="16">
        <f t="shared" si="2"/>
        <v>1292</v>
      </c>
      <c r="M30" s="17">
        <f>IF(AND(J30&lt;&gt;0, K30&lt;&gt;0), Table1[[#This Row],[PROFIT MARGIN (eur)]]/K30, 0)</f>
        <v>1.1875</v>
      </c>
    </row>
    <row r="31" spans="1:13" x14ac:dyDescent="0.3">
      <c r="A31" s="18" t="s">
        <v>92</v>
      </c>
      <c r="B31" s="19">
        <v>46236</v>
      </c>
      <c r="C31" s="11" t="str">
        <f>_xlfn.XLOOKUP(D31, LISTA_PRODOTTI!$B$2:$B$13, LISTA_PRODOTTI!$A$2:$A$13)</f>
        <v>Arredo</v>
      </c>
      <c r="D31" s="20" t="s">
        <v>34</v>
      </c>
      <c r="E31" s="20" t="s">
        <v>13</v>
      </c>
      <c r="F31" s="20" t="s">
        <v>31</v>
      </c>
      <c r="G31" s="21">
        <v>42</v>
      </c>
      <c r="H31" s="22">
        <v>171</v>
      </c>
      <c r="I31" s="23">
        <v>110</v>
      </c>
      <c r="J31" s="16">
        <f t="shared" si="0"/>
        <v>7182</v>
      </c>
      <c r="K31" s="16">
        <f t="shared" si="1"/>
        <v>4620</v>
      </c>
      <c r="L31" s="16">
        <f t="shared" si="2"/>
        <v>2562</v>
      </c>
      <c r="M31" s="17">
        <f>IF(AND(J31&lt;&gt;0, K31&lt;&gt;0), Table1[[#This Row],[PROFIT MARGIN (eur)]]/K31, 0)</f>
        <v>0.55454545454545456</v>
      </c>
    </row>
    <row r="32" spans="1:13" x14ac:dyDescent="0.3">
      <c r="A32" s="18" t="s">
        <v>93</v>
      </c>
      <c r="B32" s="19">
        <v>46181</v>
      </c>
      <c r="C32" s="11" t="str">
        <f>_xlfn.XLOOKUP(D32, LISTA_PRODOTTI!$B$2:$B$13, LISTA_PRODOTTI!$A$2:$A$13)</f>
        <v>Elettronica</v>
      </c>
      <c r="D32" s="20" t="s">
        <v>51</v>
      </c>
      <c r="E32" s="20" t="s">
        <v>30</v>
      </c>
      <c r="F32" s="20" t="s">
        <v>31</v>
      </c>
      <c r="G32" s="21">
        <v>30</v>
      </c>
      <c r="H32" s="22">
        <v>95</v>
      </c>
      <c r="I32" s="23">
        <v>40</v>
      </c>
      <c r="J32" s="16">
        <f t="shared" si="0"/>
        <v>2850</v>
      </c>
      <c r="K32" s="16">
        <f t="shared" si="1"/>
        <v>1200</v>
      </c>
      <c r="L32" s="16">
        <f t="shared" si="2"/>
        <v>1650</v>
      </c>
      <c r="M32" s="17">
        <f>IF(AND(J32&lt;&gt;0, K32&lt;&gt;0), Table1[[#This Row],[PROFIT MARGIN (eur)]]/K32, 0)</f>
        <v>1.375</v>
      </c>
    </row>
    <row r="33" spans="1:13" x14ac:dyDescent="0.3">
      <c r="A33" s="18" t="s">
        <v>94</v>
      </c>
      <c r="B33" s="19">
        <v>46297</v>
      </c>
      <c r="C33" s="11" t="str">
        <f>_xlfn.XLOOKUP(D33, LISTA_PRODOTTI!$B$2:$B$13, LISTA_PRODOTTI!$A$2:$A$13)</f>
        <v>Software</v>
      </c>
      <c r="D33" s="20" t="s">
        <v>46</v>
      </c>
      <c r="E33" s="20" t="s">
        <v>47</v>
      </c>
      <c r="F33" s="20" t="s">
        <v>31</v>
      </c>
      <c r="G33" s="21">
        <v>26</v>
      </c>
      <c r="H33" s="22">
        <v>425</v>
      </c>
      <c r="I33" s="23">
        <v>120</v>
      </c>
      <c r="J33" s="16">
        <f t="shared" si="0"/>
        <v>11050</v>
      </c>
      <c r="K33" s="16">
        <f t="shared" si="1"/>
        <v>3120</v>
      </c>
      <c r="L33" s="16">
        <f t="shared" si="2"/>
        <v>7930</v>
      </c>
      <c r="M33" s="17">
        <f>IF(AND(J33&lt;&gt;0, K33&lt;&gt;0), Table1[[#This Row],[PROFIT MARGIN (eur)]]/K33, 0)</f>
        <v>2.5416666666666665</v>
      </c>
    </row>
    <row r="34" spans="1:13" x14ac:dyDescent="0.3">
      <c r="A34" s="18" t="s">
        <v>96</v>
      </c>
      <c r="B34" s="19">
        <v>46313</v>
      </c>
      <c r="C34" s="11" t="str">
        <f>_xlfn.XLOOKUP(D34, LISTA_PRODOTTI!$B$2:$B$13, LISTA_PRODOTTI!$A$2:$A$13)</f>
        <v>Arredo</v>
      </c>
      <c r="D34" s="20" t="s">
        <v>34</v>
      </c>
      <c r="E34" s="20" t="s">
        <v>19</v>
      </c>
      <c r="F34" s="20" t="s">
        <v>24</v>
      </c>
      <c r="G34" s="21">
        <v>25</v>
      </c>
      <c r="H34" s="22">
        <v>153</v>
      </c>
      <c r="I34" s="23">
        <v>110</v>
      </c>
      <c r="J34" s="16">
        <f t="shared" si="0"/>
        <v>3825</v>
      </c>
      <c r="K34" s="16">
        <f t="shared" si="1"/>
        <v>2750</v>
      </c>
      <c r="L34" s="16">
        <f t="shared" si="2"/>
        <v>1075</v>
      </c>
      <c r="M34" s="17">
        <f>IF(AND(J34&lt;&gt;0, K34&lt;&gt;0), Table1[[#This Row],[PROFIT MARGIN (eur)]]/K34, 0)</f>
        <v>0.39090909090909093</v>
      </c>
    </row>
    <row r="35" spans="1:13" x14ac:dyDescent="0.3">
      <c r="A35" s="18" t="s">
        <v>98</v>
      </c>
      <c r="B35" s="19">
        <v>46242</v>
      </c>
      <c r="C35" s="11" t="str">
        <f>_xlfn.XLOOKUP(D35, LISTA_PRODOTTI!$B$2:$B$13, LISTA_PRODOTTI!$A$2:$A$13)</f>
        <v>Software</v>
      </c>
      <c r="D35" s="20" t="s">
        <v>12</v>
      </c>
      <c r="E35" s="20" t="s">
        <v>30</v>
      </c>
      <c r="F35" s="20" t="s">
        <v>360</v>
      </c>
      <c r="G35" s="21">
        <v>37</v>
      </c>
      <c r="H35" s="22">
        <v>807.5</v>
      </c>
      <c r="I35" s="23">
        <v>200</v>
      </c>
      <c r="J35" s="16">
        <f t="shared" si="0"/>
        <v>29877.5</v>
      </c>
      <c r="K35" s="16">
        <f t="shared" si="1"/>
        <v>7400</v>
      </c>
      <c r="L35" s="16">
        <f t="shared" si="2"/>
        <v>22477.5</v>
      </c>
      <c r="M35" s="17">
        <f>IF(AND(J35&lt;&gt;0, K35&lt;&gt;0), Table1[[#This Row],[PROFIT MARGIN (eur)]]/K35, 0)</f>
        <v>3.0375000000000001</v>
      </c>
    </row>
    <row r="36" spans="1:13" x14ac:dyDescent="0.3">
      <c r="A36" s="18" t="s">
        <v>100</v>
      </c>
      <c r="B36" s="19">
        <v>46267</v>
      </c>
      <c r="C36" s="11" t="str">
        <f>_xlfn.XLOOKUP(D36, LISTA_PRODOTTI!$B$2:$B$13, LISTA_PRODOTTI!$A$2:$A$13)</f>
        <v>Elettronica</v>
      </c>
      <c r="D36" s="20" t="s">
        <v>51</v>
      </c>
      <c r="E36" s="20" t="s">
        <v>19</v>
      </c>
      <c r="F36" s="20" t="s">
        <v>37</v>
      </c>
      <c r="G36" s="21">
        <v>39</v>
      </c>
      <c r="H36" s="22">
        <v>85.5</v>
      </c>
      <c r="I36" s="23">
        <v>40</v>
      </c>
      <c r="J36" s="16">
        <f t="shared" si="0"/>
        <v>3334.5</v>
      </c>
      <c r="K36" s="16">
        <f t="shared" si="1"/>
        <v>1560</v>
      </c>
      <c r="L36" s="16">
        <f t="shared" si="2"/>
        <v>1774.5</v>
      </c>
      <c r="M36" s="17">
        <f>IF(AND(J36&lt;&gt;0, K36&lt;&gt;0), Table1[[#This Row],[PROFIT MARGIN (eur)]]/K36, 0)</f>
        <v>1.1375</v>
      </c>
    </row>
    <row r="37" spans="1:13" x14ac:dyDescent="0.3">
      <c r="A37" s="18" t="s">
        <v>103</v>
      </c>
      <c r="B37" s="19">
        <v>46183</v>
      </c>
      <c r="C37" s="11" t="str">
        <f>_xlfn.XLOOKUP(D37, LISTA_PRODOTTI!$B$2:$B$13, LISTA_PRODOTTI!$A$2:$A$13)</f>
        <v>Arredo</v>
      </c>
      <c r="D37" s="20" t="s">
        <v>18</v>
      </c>
      <c r="E37" s="20" t="s">
        <v>19</v>
      </c>
      <c r="F37" s="20" t="s">
        <v>40</v>
      </c>
      <c r="G37" s="21">
        <v>32</v>
      </c>
      <c r="H37" s="22">
        <v>70</v>
      </c>
      <c r="I37" s="23">
        <v>32</v>
      </c>
      <c r="J37" s="16">
        <f t="shared" si="0"/>
        <v>2240</v>
      </c>
      <c r="K37" s="16">
        <f t="shared" si="1"/>
        <v>1024</v>
      </c>
      <c r="L37" s="16">
        <f t="shared" si="2"/>
        <v>1216</v>
      </c>
      <c r="M37" s="17">
        <f>IF(AND(J37&lt;&gt;0, K37&lt;&gt;0), Table1[[#This Row],[PROFIT MARGIN (eur)]]/K37, 0)</f>
        <v>1.1875</v>
      </c>
    </row>
    <row r="38" spans="1:13" x14ac:dyDescent="0.3">
      <c r="A38" s="18" t="s">
        <v>105</v>
      </c>
      <c r="B38" s="19">
        <v>46253</v>
      </c>
      <c r="C38" s="11" t="str">
        <f>_xlfn.XLOOKUP(D38, LISTA_PRODOTTI!$B$2:$B$13, LISTA_PRODOTTI!$A$2:$A$13)</f>
        <v>Elettronica</v>
      </c>
      <c r="D38" s="20" t="s">
        <v>51</v>
      </c>
      <c r="E38" s="20" t="s">
        <v>47</v>
      </c>
      <c r="F38" s="20" t="s">
        <v>31</v>
      </c>
      <c r="G38" s="21">
        <v>24</v>
      </c>
      <c r="H38" s="22">
        <v>85.5</v>
      </c>
      <c r="I38" s="23">
        <v>40</v>
      </c>
      <c r="J38" s="16">
        <f t="shared" si="0"/>
        <v>2052</v>
      </c>
      <c r="K38" s="16">
        <f t="shared" si="1"/>
        <v>960</v>
      </c>
      <c r="L38" s="16">
        <f t="shared" si="2"/>
        <v>1092</v>
      </c>
      <c r="M38" s="17">
        <f>IF(AND(J38&lt;&gt;0, K38&lt;&gt;0), Table1[[#This Row],[PROFIT MARGIN (eur)]]/K38, 0)</f>
        <v>1.1375</v>
      </c>
    </row>
    <row r="39" spans="1:13" x14ac:dyDescent="0.3">
      <c r="A39" s="18" t="s">
        <v>107</v>
      </c>
      <c r="B39" s="19">
        <v>46274</v>
      </c>
      <c r="C39" s="11" t="str">
        <f>_xlfn.XLOOKUP(D39, LISTA_PRODOTTI!$B$2:$B$13, LISTA_PRODOTTI!$A$2:$A$13)</f>
        <v>Elettronica</v>
      </c>
      <c r="D39" s="20" t="s">
        <v>108</v>
      </c>
      <c r="E39" s="20" t="s">
        <v>47</v>
      </c>
      <c r="F39" s="20" t="s">
        <v>31</v>
      </c>
      <c r="G39" s="21">
        <v>29</v>
      </c>
      <c r="H39" s="22">
        <v>102</v>
      </c>
      <c r="I39" s="23">
        <v>75</v>
      </c>
      <c r="J39" s="16">
        <f t="shared" si="0"/>
        <v>2958</v>
      </c>
      <c r="K39" s="16">
        <f t="shared" si="1"/>
        <v>2175</v>
      </c>
      <c r="L39" s="16">
        <f t="shared" si="2"/>
        <v>783</v>
      </c>
      <c r="M39" s="17">
        <f>IF(AND(J39&lt;&gt;0, K39&lt;&gt;0), Table1[[#This Row],[PROFIT MARGIN (eur)]]/K39, 0)</f>
        <v>0.36</v>
      </c>
    </row>
    <row r="40" spans="1:13" x14ac:dyDescent="0.3">
      <c r="A40" s="18" t="s">
        <v>109</v>
      </c>
      <c r="B40" s="19">
        <v>46208</v>
      </c>
      <c r="C40" s="11" t="str">
        <f>_xlfn.XLOOKUP(D40, LISTA_PRODOTTI!$B$2:$B$13, LISTA_PRODOTTI!$A$2:$A$13)</f>
        <v>Arredo</v>
      </c>
      <c r="D40" s="20" t="s">
        <v>18</v>
      </c>
      <c r="E40" s="20" t="s">
        <v>19</v>
      </c>
      <c r="F40" s="20" t="s">
        <v>14</v>
      </c>
      <c r="G40" s="21">
        <v>34</v>
      </c>
      <c r="H40" s="22">
        <v>70</v>
      </c>
      <c r="I40" s="23">
        <v>32</v>
      </c>
      <c r="J40" s="16">
        <f t="shared" si="0"/>
        <v>2380</v>
      </c>
      <c r="K40" s="16">
        <f t="shared" si="1"/>
        <v>1088</v>
      </c>
      <c r="L40" s="16">
        <f t="shared" si="2"/>
        <v>1292</v>
      </c>
      <c r="M40" s="17">
        <f>IF(AND(J40&lt;&gt;0, K40&lt;&gt;0), Table1[[#This Row],[PROFIT MARGIN (eur)]]/K40, 0)</f>
        <v>1.1875</v>
      </c>
    </row>
    <row r="41" spans="1:13" x14ac:dyDescent="0.3">
      <c r="A41" s="18" t="s">
        <v>111</v>
      </c>
      <c r="B41" s="19">
        <v>46248</v>
      </c>
      <c r="C41" s="11" t="str">
        <f>_xlfn.XLOOKUP(D41, LISTA_PRODOTTI!$B$2:$B$13, LISTA_PRODOTTI!$A$2:$A$13)</f>
        <v>Elettronica</v>
      </c>
      <c r="D41" s="20" t="s">
        <v>112</v>
      </c>
      <c r="E41" s="20" t="s">
        <v>30</v>
      </c>
      <c r="F41" s="20" t="s">
        <v>14</v>
      </c>
      <c r="G41" s="21">
        <v>37</v>
      </c>
      <c r="H41" s="22">
        <v>65</v>
      </c>
      <c r="I41" s="23">
        <v>28</v>
      </c>
      <c r="J41" s="16">
        <f t="shared" si="0"/>
        <v>2405</v>
      </c>
      <c r="K41" s="16">
        <f t="shared" si="1"/>
        <v>1036</v>
      </c>
      <c r="L41" s="16">
        <f t="shared" si="2"/>
        <v>1369</v>
      </c>
      <c r="M41" s="17">
        <f>IF(AND(J41&lt;&gt;0, K41&lt;&gt;0), Table1[[#This Row],[PROFIT MARGIN (eur)]]/K41, 0)</f>
        <v>1.3214285714285714</v>
      </c>
    </row>
    <row r="42" spans="1:13" x14ac:dyDescent="0.3">
      <c r="A42" s="18" t="s">
        <v>113</v>
      </c>
      <c r="B42" s="19">
        <v>46209</v>
      </c>
      <c r="C42" s="11" t="str">
        <f>_xlfn.XLOOKUP(D42, LISTA_PRODOTTI!$B$2:$B$13, LISTA_PRODOTTI!$A$2:$A$13)</f>
        <v>Software</v>
      </c>
      <c r="D42" s="20" t="s">
        <v>12</v>
      </c>
      <c r="E42" s="20" t="s">
        <v>13</v>
      </c>
      <c r="F42" s="20" t="s">
        <v>31</v>
      </c>
      <c r="G42" s="21">
        <v>13</v>
      </c>
      <c r="H42" s="22">
        <v>850</v>
      </c>
      <c r="I42" s="23">
        <v>200</v>
      </c>
      <c r="J42" s="16">
        <f t="shared" si="0"/>
        <v>11050</v>
      </c>
      <c r="K42" s="16">
        <f t="shared" si="1"/>
        <v>2600</v>
      </c>
      <c r="L42" s="16">
        <f t="shared" si="2"/>
        <v>8450</v>
      </c>
      <c r="M42" s="17">
        <f>IF(AND(J42&lt;&gt;0, K42&lt;&gt;0), Table1[[#This Row],[PROFIT MARGIN (eur)]]/K42, 0)</f>
        <v>3.25</v>
      </c>
    </row>
    <row r="43" spans="1:13" x14ac:dyDescent="0.3">
      <c r="A43" s="18" t="s">
        <v>115</v>
      </c>
      <c r="B43" s="19">
        <v>46257</v>
      </c>
      <c r="C43" s="11" t="str">
        <f>_xlfn.XLOOKUP(D43, LISTA_PRODOTTI!$B$2:$B$13, LISTA_PRODOTTI!$A$2:$A$13)</f>
        <v>Arredo</v>
      </c>
      <c r="D43" s="20" t="s">
        <v>29</v>
      </c>
      <c r="E43" s="20" t="s">
        <v>13</v>
      </c>
      <c r="F43" s="20" t="s">
        <v>31</v>
      </c>
      <c r="G43" s="21">
        <v>12</v>
      </c>
      <c r="H43" s="22">
        <v>212.5</v>
      </c>
      <c r="I43" s="23">
        <v>160</v>
      </c>
      <c r="J43" s="16">
        <f t="shared" si="0"/>
        <v>2550</v>
      </c>
      <c r="K43" s="16">
        <f t="shared" si="1"/>
        <v>1920</v>
      </c>
      <c r="L43" s="16">
        <f t="shared" si="2"/>
        <v>630</v>
      </c>
      <c r="M43" s="17">
        <f>IF(AND(J43&lt;&gt;0, K43&lt;&gt;0), Table1[[#This Row],[PROFIT MARGIN (eur)]]/K43, 0)</f>
        <v>0.328125</v>
      </c>
    </row>
    <row r="44" spans="1:13" x14ac:dyDescent="0.3">
      <c r="A44" s="18" t="s">
        <v>117</v>
      </c>
      <c r="B44" s="19">
        <v>46301</v>
      </c>
      <c r="C44" s="11" t="str">
        <f>_xlfn.XLOOKUP(D44, LISTA_PRODOTTI!$B$2:$B$13, LISTA_PRODOTTI!$A$2:$A$13)</f>
        <v>Arredo</v>
      </c>
      <c r="D44" s="20" t="s">
        <v>61</v>
      </c>
      <c r="E44" s="20" t="s">
        <v>13</v>
      </c>
      <c r="F44" s="20" t="s">
        <v>40</v>
      </c>
      <c r="G44" s="21">
        <v>12</v>
      </c>
      <c r="H44" s="22">
        <v>45</v>
      </c>
      <c r="I44" s="23">
        <v>20</v>
      </c>
      <c r="J44" s="16">
        <f t="shared" si="0"/>
        <v>540</v>
      </c>
      <c r="K44" s="16">
        <f t="shared" si="1"/>
        <v>240</v>
      </c>
      <c r="L44" s="16">
        <f t="shared" si="2"/>
        <v>300</v>
      </c>
      <c r="M44" s="17">
        <f>IF(AND(J44&lt;&gt;0, K44&lt;&gt;0), Table1[[#This Row],[PROFIT MARGIN (eur)]]/K44, 0)</f>
        <v>1.25</v>
      </c>
    </row>
    <row r="45" spans="1:13" x14ac:dyDescent="0.3">
      <c r="A45" s="18" t="s">
        <v>119</v>
      </c>
      <c r="B45" s="19">
        <v>46317</v>
      </c>
      <c r="C45" s="11" t="str">
        <f>_xlfn.XLOOKUP(D45, LISTA_PRODOTTI!$B$2:$B$13, LISTA_PRODOTTI!$A$2:$A$13)</f>
        <v>Elettronica</v>
      </c>
      <c r="D45" s="20" t="s">
        <v>112</v>
      </c>
      <c r="E45" s="20" t="s">
        <v>47</v>
      </c>
      <c r="F45" s="20" t="s">
        <v>24</v>
      </c>
      <c r="G45" s="21">
        <v>31</v>
      </c>
      <c r="H45" s="22">
        <v>65</v>
      </c>
      <c r="I45" s="23">
        <v>28</v>
      </c>
      <c r="J45" s="16">
        <f t="shared" si="0"/>
        <v>2015</v>
      </c>
      <c r="K45" s="16">
        <f t="shared" si="1"/>
        <v>868</v>
      </c>
      <c r="L45" s="16">
        <f t="shared" si="2"/>
        <v>1147</v>
      </c>
      <c r="M45" s="17">
        <f>IF(AND(J45&lt;&gt;0, K45&lt;&gt;0), Table1[[#This Row],[PROFIT MARGIN (eur)]]/K45, 0)</f>
        <v>1.3214285714285714</v>
      </c>
    </row>
    <row r="46" spans="1:13" x14ac:dyDescent="0.3">
      <c r="A46" s="18" t="s">
        <v>121</v>
      </c>
      <c r="B46" s="19">
        <v>46319</v>
      </c>
      <c r="C46" s="11" t="str">
        <f>_xlfn.XLOOKUP(D46, LISTA_PRODOTTI!$B$2:$B$13, LISTA_PRODOTTI!$A$2:$A$13)</f>
        <v>Elettronica</v>
      </c>
      <c r="D46" s="20" t="s">
        <v>71</v>
      </c>
      <c r="E46" s="20" t="s">
        <v>13</v>
      </c>
      <c r="F46" s="20" t="s">
        <v>37</v>
      </c>
      <c r="G46" s="21">
        <v>38</v>
      </c>
      <c r="H46" s="22">
        <v>80.75</v>
      </c>
      <c r="I46" s="23">
        <v>45</v>
      </c>
      <c r="J46" s="16">
        <f t="shared" si="0"/>
        <v>3068.5</v>
      </c>
      <c r="K46" s="16">
        <f t="shared" si="1"/>
        <v>1710</v>
      </c>
      <c r="L46" s="16">
        <f t="shared" si="2"/>
        <v>1358.5</v>
      </c>
      <c r="M46" s="17">
        <f>IF(AND(J46&lt;&gt;0, K46&lt;&gt;0), Table1[[#This Row],[PROFIT MARGIN (eur)]]/K46, 0)</f>
        <v>0.7944444444444444</v>
      </c>
    </row>
    <row r="47" spans="1:13" x14ac:dyDescent="0.3">
      <c r="A47" s="18" t="s">
        <v>122</v>
      </c>
      <c r="B47" s="19">
        <v>46295</v>
      </c>
      <c r="C47" s="11" t="str">
        <f>_xlfn.XLOOKUP(D47, LISTA_PRODOTTI!$B$2:$B$13, LISTA_PRODOTTI!$A$2:$A$13)</f>
        <v>Elettronica</v>
      </c>
      <c r="D47" s="20" t="s">
        <v>112</v>
      </c>
      <c r="E47" s="20" t="s">
        <v>30</v>
      </c>
      <c r="F47" s="20" t="s">
        <v>37</v>
      </c>
      <c r="G47" s="21">
        <v>1</v>
      </c>
      <c r="H47" s="22">
        <v>61.75</v>
      </c>
      <c r="I47" s="23">
        <v>28</v>
      </c>
      <c r="J47" s="16">
        <f t="shared" si="0"/>
        <v>61.75</v>
      </c>
      <c r="K47" s="16">
        <f t="shared" si="1"/>
        <v>28</v>
      </c>
      <c r="L47" s="16">
        <f t="shared" si="2"/>
        <v>33.75</v>
      </c>
      <c r="M47" s="17">
        <f>IF(AND(J47&lt;&gt;0, K47&lt;&gt;0), Table1[[#This Row],[PROFIT MARGIN (eur)]]/K47, 0)</f>
        <v>1.2053571428571428</v>
      </c>
    </row>
    <row r="48" spans="1:13" x14ac:dyDescent="0.3">
      <c r="A48" s="18" t="s">
        <v>124</v>
      </c>
      <c r="B48" s="19">
        <v>46305</v>
      </c>
      <c r="C48" s="11" t="str">
        <f>_xlfn.XLOOKUP(D48, LISTA_PRODOTTI!$B$2:$B$13, LISTA_PRODOTTI!$A$2:$A$13)</f>
        <v>Software</v>
      </c>
      <c r="D48" s="20" t="s">
        <v>12</v>
      </c>
      <c r="E48" s="20" t="s">
        <v>19</v>
      </c>
      <c r="F48" s="20" t="s">
        <v>40</v>
      </c>
      <c r="G48" s="21">
        <v>10</v>
      </c>
      <c r="H48" s="22">
        <v>850</v>
      </c>
      <c r="I48" s="23">
        <v>200</v>
      </c>
      <c r="J48" s="16">
        <f t="shared" si="0"/>
        <v>8500</v>
      </c>
      <c r="K48" s="16">
        <f t="shared" si="1"/>
        <v>2000</v>
      </c>
      <c r="L48" s="16">
        <f t="shared" si="2"/>
        <v>6500</v>
      </c>
      <c r="M48" s="17">
        <f>IF(AND(J48&lt;&gt;0, K48&lt;&gt;0), Table1[[#This Row],[PROFIT MARGIN (eur)]]/K48, 0)</f>
        <v>3.25</v>
      </c>
    </row>
    <row r="49" spans="1:13" x14ac:dyDescent="0.3">
      <c r="A49" s="18" t="s">
        <v>126</v>
      </c>
      <c r="B49" s="19">
        <v>46299</v>
      </c>
      <c r="C49" s="11" t="str">
        <f>_xlfn.XLOOKUP(D49, LISTA_PRODOTTI!$B$2:$B$13, LISTA_PRODOTTI!$A$2:$A$13)</f>
        <v>Elettronica</v>
      </c>
      <c r="D49" s="20" t="s">
        <v>108</v>
      </c>
      <c r="E49" s="20" t="s">
        <v>47</v>
      </c>
      <c r="F49" s="20" t="s">
        <v>37</v>
      </c>
      <c r="G49" s="21">
        <v>28</v>
      </c>
      <c r="H49" s="22">
        <v>114</v>
      </c>
      <c r="I49" s="23">
        <v>75</v>
      </c>
      <c r="J49" s="16">
        <f t="shared" si="0"/>
        <v>3192</v>
      </c>
      <c r="K49" s="16">
        <f t="shared" si="1"/>
        <v>2100</v>
      </c>
      <c r="L49" s="16">
        <f t="shared" si="2"/>
        <v>1092</v>
      </c>
      <c r="M49" s="17">
        <f>IF(AND(J49&lt;&gt;0, K49&lt;&gt;0), Table1[[#This Row],[PROFIT MARGIN (eur)]]/K49, 0)</f>
        <v>0.52</v>
      </c>
    </row>
    <row r="50" spans="1:13" x14ac:dyDescent="0.3">
      <c r="A50" s="18" t="s">
        <v>128</v>
      </c>
      <c r="B50" s="19">
        <v>46290</v>
      </c>
      <c r="C50" s="11" t="str">
        <f>_xlfn.XLOOKUP(D50, LISTA_PRODOTTI!$B$2:$B$13, LISTA_PRODOTTI!$A$2:$A$13)</f>
        <v>Elettronica</v>
      </c>
      <c r="D50" s="20" t="s">
        <v>112</v>
      </c>
      <c r="E50" s="20" t="s">
        <v>13</v>
      </c>
      <c r="F50" s="20" t="s">
        <v>24</v>
      </c>
      <c r="G50" s="21">
        <v>21</v>
      </c>
      <c r="H50" s="22">
        <v>65</v>
      </c>
      <c r="I50" s="23">
        <v>28</v>
      </c>
      <c r="J50" s="16">
        <f t="shared" si="0"/>
        <v>1365</v>
      </c>
      <c r="K50" s="16">
        <f t="shared" si="1"/>
        <v>588</v>
      </c>
      <c r="L50" s="16">
        <f t="shared" si="2"/>
        <v>777</v>
      </c>
      <c r="M50" s="17">
        <f>IF(AND(J50&lt;&gt;0, K50&lt;&gt;0), Table1[[#This Row],[PROFIT MARGIN (eur)]]/K50, 0)</f>
        <v>1.3214285714285714</v>
      </c>
    </row>
    <row r="51" spans="1:13" x14ac:dyDescent="0.3">
      <c r="A51" s="18" t="s">
        <v>130</v>
      </c>
      <c r="B51" s="19">
        <v>46319</v>
      </c>
      <c r="C51" s="11" t="str">
        <f>_xlfn.XLOOKUP(D51, LISTA_PRODOTTI!$B$2:$B$13, LISTA_PRODOTTI!$A$2:$A$13)</f>
        <v>Elettronica</v>
      </c>
      <c r="D51" s="20" t="s">
        <v>108</v>
      </c>
      <c r="E51" s="20" t="s">
        <v>19</v>
      </c>
      <c r="F51" s="20" t="s">
        <v>40</v>
      </c>
      <c r="G51" s="21">
        <v>16</v>
      </c>
      <c r="H51" s="22">
        <v>120</v>
      </c>
      <c r="I51" s="23">
        <v>75</v>
      </c>
      <c r="J51" s="16">
        <f t="shared" si="0"/>
        <v>1920</v>
      </c>
      <c r="K51" s="16">
        <f t="shared" si="1"/>
        <v>1200</v>
      </c>
      <c r="L51" s="16">
        <f t="shared" si="2"/>
        <v>720</v>
      </c>
      <c r="M51" s="17">
        <f>IF(AND(J51&lt;&gt;0, K51&lt;&gt;0), Table1[[#This Row],[PROFIT MARGIN (eur)]]/K51, 0)</f>
        <v>0.6</v>
      </c>
    </row>
    <row r="52" spans="1:13" x14ac:dyDescent="0.3">
      <c r="A52" s="18" t="s">
        <v>132</v>
      </c>
      <c r="B52" s="19">
        <v>46275</v>
      </c>
      <c r="C52" s="11" t="str">
        <f>_xlfn.XLOOKUP(D52, LISTA_PRODOTTI!$B$2:$B$13, LISTA_PRODOTTI!$A$2:$A$13)</f>
        <v>Elettronica</v>
      </c>
      <c r="D52" s="20" t="s">
        <v>71</v>
      </c>
      <c r="E52" s="20" t="s">
        <v>19</v>
      </c>
      <c r="F52" s="20" t="s">
        <v>14</v>
      </c>
      <c r="G52" s="21">
        <v>28</v>
      </c>
      <c r="H52" s="22">
        <v>76.5</v>
      </c>
      <c r="I52" s="23">
        <v>45</v>
      </c>
      <c r="J52" s="16">
        <f t="shared" si="0"/>
        <v>2142</v>
      </c>
      <c r="K52" s="16">
        <f t="shared" si="1"/>
        <v>1260</v>
      </c>
      <c r="L52" s="16">
        <f t="shared" si="2"/>
        <v>882</v>
      </c>
      <c r="M52" s="17">
        <f>IF(AND(J52&lt;&gt;0, K52&lt;&gt;0), Table1[[#This Row],[PROFIT MARGIN (eur)]]/K52, 0)</f>
        <v>0.7</v>
      </c>
    </row>
    <row r="53" spans="1:13" x14ac:dyDescent="0.3">
      <c r="A53" s="18" t="s">
        <v>134</v>
      </c>
      <c r="B53" s="19">
        <v>46318</v>
      </c>
      <c r="C53" s="11" t="str">
        <f>_xlfn.XLOOKUP(D53, LISTA_PRODOTTI!$B$2:$B$13, LISTA_PRODOTTI!$A$2:$A$13)</f>
        <v>Elettronica</v>
      </c>
      <c r="D53" s="20" t="s">
        <v>51</v>
      </c>
      <c r="E53" s="20" t="s">
        <v>30</v>
      </c>
      <c r="F53" s="20" t="s">
        <v>37</v>
      </c>
      <c r="G53" s="21">
        <v>13</v>
      </c>
      <c r="H53" s="22">
        <v>90.25</v>
      </c>
      <c r="I53" s="23">
        <v>40</v>
      </c>
      <c r="J53" s="16">
        <f t="shared" si="0"/>
        <v>1173.25</v>
      </c>
      <c r="K53" s="16">
        <f t="shared" si="1"/>
        <v>520</v>
      </c>
      <c r="L53" s="16">
        <f t="shared" si="2"/>
        <v>653.25</v>
      </c>
      <c r="M53" s="17">
        <f>IF(AND(J53&lt;&gt;0, K53&lt;&gt;0), Table1[[#This Row],[PROFIT MARGIN (eur)]]/K53, 0)</f>
        <v>1.2562500000000001</v>
      </c>
    </row>
    <row r="54" spans="1:13" x14ac:dyDescent="0.3">
      <c r="A54" s="18" t="s">
        <v>136</v>
      </c>
      <c r="B54" s="19">
        <v>46220</v>
      </c>
      <c r="C54" s="11" t="str">
        <f>_xlfn.XLOOKUP(D54, LISTA_PRODOTTI!$B$2:$B$13, LISTA_PRODOTTI!$A$2:$A$13)</f>
        <v>Arredo</v>
      </c>
      <c r="D54" s="20" t="s">
        <v>18</v>
      </c>
      <c r="E54" s="20" t="s">
        <v>47</v>
      </c>
      <c r="F54" s="20" t="s">
        <v>37</v>
      </c>
      <c r="G54" s="21">
        <v>5</v>
      </c>
      <c r="H54" s="22">
        <v>70</v>
      </c>
      <c r="I54" s="23">
        <v>32</v>
      </c>
      <c r="J54" s="16">
        <f t="shared" si="0"/>
        <v>350</v>
      </c>
      <c r="K54" s="16">
        <f t="shared" si="1"/>
        <v>160</v>
      </c>
      <c r="L54" s="16">
        <f t="shared" si="2"/>
        <v>190</v>
      </c>
      <c r="M54" s="17">
        <f>IF(AND(J54&lt;&gt;0, K54&lt;&gt;0), Table1[[#This Row],[PROFIT MARGIN (eur)]]/K54, 0)</f>
        <v>1.1875</v>
      </c>
    </row>
    <row r="55" spans="1:13" x14ac:dyDescent="0.3">
      <c r="A55" s="18" t="s">
        <v>138</v>
      </c>
      <c r="B55" s="19">
        <v>46184</v>
      </c>
      <c r="C55" s="11" t="str">
        <f>_xlfn.XLOOKUP(D55, LISTA_PRODOTTI!$B$2:$B$13, LISTA_PRODOTTI!$A$2:$A$13)</f>
        <v>Software</v>
      </c>
      <c r="D55" s="20" t="s">
        <v>46</v>
      </c>
      <c r="E55" s="20" t="s">
        <v>47</v>
      </c>
      <c r="F55" s="20" t="s">
        <v>62</v>
      </c>
      <c r="G55" s="21">
        <v>13</v>
      </c>
      <c r="H55" s="22">
        <v>500</v>
      </c>
      <c r="I55" s="23">
        <v>120</v>
      </c>
      <c r="J55" s="16">
        <f t="shared" si="0"/>
        <v>6500</v>
      </c>
      <c r="K55" s="16">
        <f t="shared" si="1"/>
        <v>1560</v>
      </c>
      <c r="L55" s="16">
        <f t="shared" si="2"/>
        <v>4940</v>
      </c>
      <c r="M55" s="17">
        <f>IF(AND(J55&lt;&gt;0, K55&lt;&gt;0), Table1[[#This Row],[PROFIT MARGIN (eur)]]/K55, 0)</f>
        <v>3.1666666666666665</v>
      </c>
    </row>
    <row r="56" spans="1:13" x14ac:dyDescent="0.3">
      <c r="A56" s="18" t="s">
        <v>139</v>
      </c>
      <c r="B56" s="19">
        <v>46228</v>
      </c>
      <c r="C56" s="11" t="str">
        <f>_xlfn.XLOOKUP(D56, LISTA_PRODOTTI!$B$2:$B$13, LISTA_PRODOTTI!$A$2:$A$13)</f>
        <v>Elettronica</v>
      </c>
      <c r="D56" s="20" t="s">
        <v>112</v>
      </c>
      <c r="E56" s="20" t="s">
        <v>19</v>
      </c>
      <c r="F56" s="20" t="s">
        <v>40</v>
      </c>
      <c r="G56" s="21">
        <v>23</v>
      </c>
      <c r="H56" s="22">
        <v>55.25</v>
      </c>
      <c r="I56" s="23">
        <v>28</v>
      </c>
      <c r="J56" s="16">
        <f t="shared" si="0"/>
        <v>1270.75</v>
      </c>
      <c r="K56" s="16">
        <f t="shared" si="1"/>
        <v>644</v>
      </c>
      <c r="L56" s="16">
        <f t="shared" si="2"/>
        <v>626.75</v>
      </c>
      <c r="M56" s="17">
        <f>IF(AND(J56&lt;&gt;0, K56&lt;&gt;0), Table1[[#This Row],[PROFIT MARGIN (eur)]]/K56, 0)</f>
        <v>0.9732142857142857</v>
      </c>
    </row>
    <row r="57" spans="1:13" x14ac:dyDescent="0.3">
      <c r="A57" s="18" t="s">
        <v>141</v>
      </c>
      <c r="B57" s="19">
        <v>46258</v>
      </c>
      <c r="C57" s="11" t="str">
        <f>_xlfn.XLOOKUP(D57, LISTA_PRODOTTI!$B$2:$B$13, LISTA_PRODOTTI!$A$2:$A$13)</f>
        <v>Arredo</v>
      </c>
      <c r="D57" s="20" t="s">
        <v>29</v>
      </c>
      <c r="E57" s="20" t="s">
        <v>13</v>
      </c>
      <c r="F57" s="20" t="s">
        <v>31</v>
      </c>
      <c r="G57" s="21">
        <v>1</v>
      </c>
      <c r="H57" s="22">
        <v>250</v>
      </c>
      <c r="I57" s="23">
        <v>160</v>
      </c>
      <c r="J57" s="16">
        <f t="shared" si="0"/>
        <v>250</v>
      </c>
      <c r="K57" s="16">
        <f t="shared" si="1"/>
        <v>160</v>
      </c>
      <c r="L57" s="16">
        <f t="shared" si="2"/>
        <v>90</v>
      </c>
      <c r="M57" s="17">
        <f>IF(AND(J57&lt;&gt;0, K57&lt;&gt;0), Table1[[#This Row],[PROFIT MARGIN (eur)]]/K57, 0)</f>
        <v>0.5625</v>
      </c>
    </row>
    <row r="58" spans="1:13" x14ac:dyDescent="0.3">
      <c r="A58" s="18" t="s">
        <v>143</v>
      </c>
      <c r="B58" s="19">
        <v>46212</v>
      </c>
      <c r="C58" s="11" t="str">
        <f>_xlfn.XLOOKUP(D58, LISTA_PRODOTTI!$B$2:$B$13, LISTA_PRODOTTI!$A$2:$A$13)</f>
        <v>Arredo</v>
      </c>
      <c r="D58" s="20" t="s">
        <v>34</v>
      </c>
      <c r="E58" s="20" t="s">
        <v>47</v>
      </c>
      <c r="F58" s="20" t="s">
        <v>14</v>
      </c>
      <c r="G58" s="21">
        <v>12</v>
      </c>
      <c r="H58" s="22">
        <v>180</v>
      </c>
      <c r="I58" s="23">
        <v>110</v>
      </c>
      <c r="J58" s="16">
        <f t="shared" si="0"/>
        <v>2160</v>
      </c>
      <c r="K58" s="16">
        <f t="shared" si="1"/>
        <v>1320</v>
      </c>
      <c r="L58" s="16">
        <f t="shared" si="2"/>
        <v>840</v>
      </c>
      <c r="M58" s="17">
        <f>IF(AND(J58&lt;&gt;0, K58&lt;&gt;0), Table1[[#This Row],[PROFIT MARGIN (eur)]]/K58, 0)</f>
        <v>0.63636363636363635</v>
      </c>
    </row>
    <row r="59" spans="1:13" x14ac:dyDescent="0.3">
      <c r="A59" s="18" t="s">
        <v>145</v>
      </c>
      <c r="B59" s="19">
        <v>46230</v>
      </c>
      <c r="C59" s="11" t="str">
        <f>_xlfn.XLOOKUP(D59, LISTA_PRODOTTI!$B$2:$B$13, LISTA_PRODOTTI!$A$2:$A$13)</f>
        <v>Software</v>
      </c>
      <c r="D59" s="20" t="s">
        <v>12</v>
      </c>
      <c r="E59" s="20" t="s">
        <v>13</v>
      </c>
      <c r="F59" s="20" t="s">
        <v>37</v>
      </c>
      <c r="G59" s="21">
        <v>14</v>
      </c>
      <c r="H59" s="22">
        <v>850</v>
      </c>
      <c r="I59" s="23">
        <v>200</v>
      </c>
      <c r="J59" s="16">
        <f t="shared" si="0"/>
        <v>11900</v>
      </c>
      <c r="K59" s="16">
        <f t="shared" si="1"/>
        <v>2800</v>
      </c>
      <c r="L59" s="16">
        <f t="shared" si="2"/>
        <v>9100</v>
      </c>
      <c r="M59" s="17">
        <f>IF(AND(J59&lt;&gt;0, K59&lt;&gt;0), Table1[[#This Row],[PROFIT MARGIN (eur)]]/K59, 0)</f>
        <v>3.25</v>
      </c>
    </row>
    <row r="60" spans="1:13" x14ac:dyDescent="0.3">
      <c r="A60" s="18" t="s">
        <v>147</v>
      </c>
      <c r="B60" s="19">
        <v>46211</v>
      </c>
      <c r="C60" s="11" t="str">
        <f>_xlfn.XLOOKUP(D60, LISTA_PRODOTTI!$B$2:$B$13, LISTA_PRODOTTI!$A$2:$A$13)</f>
        <v>Arredo</v>
      </c>
      <c r="D60" s="20" t="s">
        <v>34</v>
      </c>
      <c r="E60" s="20" t="s">
        <v>47</v>
      </c>
      <c r="F60" s="20" t="s">
        <v>14</v>
      </c>
      <c r="G60" s="21">
        <v>38</v>
      </c>
      <c r="H60" s="22">
        <v>180</v>
      </c>
      <c r="I60" s="23">
        <v>110</v>
      </c>
      <c r="J60" s="16">
        <f t="shared" si="0"/>
        <v>6840</v>
      </c>
      <c r="K60" s="16">
        <f t="shared" si="1"/>
        <v>4180</v>
      </c>
      <c r="L60" s="16">
        <f t="shared" si="2"/>
        <v>2660</v>
      </c>
      <c r="M60" s="17">
        <f>IF(AND(J60&lt;&gt;0, K60&lt;&gt;0), Table1[[#This Row],[PROFIT MARGIN (eur)]]/K60, 0)</f>
        <v>0.63636363636363635</v>
      </c>
    </row>
    <row r="61" spans="1:13" x14ac:dyDescent="0.3">
      <c r="A61" s="18" t="s">
        <v>148</v>
      </c>
      <c r="B61" s="19">
        <v>46224</v>
      </c>
      <c r="C61" s="11" t="str">
        <f>_xlfn.XLOOKUP(D61, LISTA_PRODOTTI!$B$2:$B$13, LISTA_PRODOTTI!$A$2:$A$13)</f>
        <v>Elettronica</v>
      </c>
      <c r="D61" s="20" t="s">
        <v>51</v>
      </c>
      <c r="E61" s="20" t="s">
        <v>13</v>
      </c>
      <c r="F61" s="20" t="s">
        <v>14</v>
      </c>
      <c r="G61" s="21">
        <v>17</v>
      </c>
      <c r="H61" s="22">
        <v>85.5</v>
      </c>
      <c r="I61" s="23">
        <v>40</v>
      </c>
      <c r="J61" s="16">
        <f t="shared" si="0"/>
        <v>1453.5</v>
      </c>
      <c r="K61" s="16">
        <f t="shared" si="1"/>
        <v>680</v>
      </c>
      <c r="L61" s="16">
        <f t="shared" si="2"/>
        <v>773.5</v>
      </c>
      <c r="M61" s="17">
        <f>IF(AND(J61&lt;&gt;0, K61&lt;&gt;0), Table1[[#This Row],[PROFIT MARGIN (eur)]]/K61, 0)</f>
        <v>1.1375</v>
      </c>
    </row>
    <row r="62" spans="1:13" x14ac:dyDescent="0.3">
      <c r="A62" s="18" t="s">
        <v>150</v>
      </c>
      <c r="B62" s="19">
        <v>46299</v>
      </c>
      <c r="C62" s="11" t="str">
        <f>_xlfn.XLOOKUP(D62, LISTA_PRODOTTI!$B$2:$B$13, LISTA_PRODOTTI!$A$2:$A$13)</f>
        <v>Software</v>
      </c>
      <c r="D62" s="20" t="s">
        <v>12</v>
      </c>
      <c r="E62" s="20" t="s">
        <v>47</v>
      </c>
      <c r="F62" s="20" t="s">
        <v>40</v>
      </c>
      <c r="G62" s="21">
        <v>16</v>
      </c>
      <c r="H62" s="22">
        <v>765</v>
      </c>
      <c r="I62" s="23">
        <v>200</v>
      </c>
      <c r="J62" s="16">
        <f t="shared" si="0"/>
        <v>12240</v>
      </c>
      <c r="K62" s="16">
        <f t="shared" si="1"/>
        <v>3200</v>
      </c>
      <c r="L62" s="16">
        <f t="shared" si="2"/>
        <v>9040</v>
      </c>
      <c r="M62" s="17">
        <f>IF(AND(J62&lt;&gt;0, K62&lt;&gt;0), Table1[[#This Row],[PROFIT MARGIN (eur)]]/K62, 0)</f>
        <v>2.8250000000000002</v>
      </c>
    </row>
    <row r="63" spans="1:13" x14ac:dyDescent="0.3">
      <c r="A63" s="18" t="s">
        <v>152</v>
      </c>
      <c r="B63" s="19">
        <v>46266</v>
      </c>
      <c r="C63" s="11" t="str">
        <f>_xlfn.XLOOKUP(D63, LISTA_PRODOTTI!$B$2:$B$13, LISTA_PRODOTTI!$A$2:$A$13)</f>
        <v>Elettronica</v>
      </c>
      <c r="D63" s="20" t="s">
        <v>71</v>
      </c>
      <c r="E63" s="20" t="s">
        <v>13</v>
      </c>
      <c r="F63" s="20" t="s">
        <v>37</v>
      </c>
      <c r="G63" s="21">
        <v>18</v>
      </c>
      <c r="H63" s="22">
        <v>76.5</v>
      </c>
      <c r="I63" s="23">
        <v>45</v>
      </c>
      <c r="J63" s="16">
        <f t="shared" si="0"/>
        <v>1377</v>
      </c>
      <c r="K63" s="16">
        <f t="shared" si="1"/>
        <v>810</v>
      </c>
      <c r="L63" s="16">
        <f t="shared" si="2"/>
        <v>567</v>
      </c>
      <c r="M63" s="17">
        <f>IF(AND(J63&lt;&gt;0, K63&lt;&gt;0), Table1[[#This Row],[PROFIT MARGIN (eur)]]/K63, 0)</f>
        <v>0.7</v>
      </c>
    </row>
    <row r="64" spans="1:13" x14ac:dyDescent="0.3">
      <c r="A64" s="18" t="s">
        <v>154</v>
      </c>
      <c r="B64" s="19">
        <v>46306</v>
      </c>
      <c r="C64" s="11" t="str">
        <f>_xlfn.XLOOKUP(D64, LISTA_PRODOTTI!$B$2:$B$13, LISTA_PRODOTTI!$A$2:$A$13)</f>
        <v>Arredo</v>
      </c>
      <c r="D64" s="20" t="s">
        <v>34</v>
      </c>
      <c r="E64" s="20" t="s">
        <v>19</v>
      </c>
      <c r="F64" s="20" t="s">
        <v>14</v>
      </c>
      <c r="G64" s="21">
        <v>27</v>
      </c>
      <c r="H64" s="22">
        <v>180</v>
      </c>
      <c r="I64" s="23">
        <v>110</v>
      </c>
      <c r="J64" s="16">
        <f t="shared" si="0"/>
        <v>4860</v>
      </c>
      <c r="K64" s="16">
        <f t="shared" si="1"/>
        <v>2970</v>
      </c>
      <c r="L64" s="16">
        <f t="shared" si="2"/>
        <v>1890</v>
      </c>
      <c r="M64" s="17">
        <f>IF(AND(J64&lt;&gt;0, K64&lt;&gt;0), Table1[[#This Row],[PROFIT MARGIN (eur)]]/K64, 0)</f>
        <v>0.63636363636363635</v>
      </c>
    </row>
    <row r="65" spans="1:13" x14ac:dyDescent="0.3">
      <c r="A65" s="18" t="s">
        <v>156</v>
      </c>
      <c r="B65" s="19">
        <v>46229</v>
      </c>
      <c r="C65" s="11" t="str">
        <f>_xlfn.XLOOKUP(D65, LISTA_PRODOTTI!$B$2:$B$13, LISTA_PRODOTTI!$A$2:$A$13)</f>
        <v>Software</v>
      </c>
      <c r="D65" s="20" t="s">
        <v>46</v>
      </c>
      <c r="E65" s="20" t="s">
        <v>30</v>
      </c>
      <c r="F65" s="20" t="s">
        <v>62</v>
      </c>
      <c r="G65" s="21">
        <v>8</v>
      </c>
      <c r="H65" s="22">
        <v>500</v>
      </c>
      <c r="I65" s="23">
        <v>120</v>
      </c>
      <c r="J65" s="16">
        <f t="shared" si="0"/>
        <v>4000</v>
      </c>
      <c r="K65" s="16">
        <f t="shared" si="1"/>
        <v>960</v>
      </c>
      <c r="L65" s="16">
        <f t="shared" si="2"/>
        <v>3040</v>
      </c>
      <c r="M65" s="17">
        <f>IF(AND(J65&lt;&gt;0, K65&lt;&gt;0), Table1[[#This Row],[PROFIT MARGIN (eur)]]/K65, 0)</f>
        <v>3.1666666666666665</v>
      </c>
    </row>
    <row r="66" spans="1:13" x14ac:dyDescent="0.3">
      <c r="A66" s="18" t="s">
        <v>158</v>
      </c>
      <c r="B66" s="19">
        <v>46229</v>
      </c>
      <c r="C66" s="11" t="str">
        <f>_xlfn.XLOOKUP(D66, LISTA_PRODOTTI!$B$2:$B$13, LISTA_PRODOTTI!$A$2:$A$13)</f>
        <v>Arredo</v>
      </c>
      <c r="D66" s="20" t="s">
        <v>18</v>
      </c>
      <c r="E66" s="20" t="s">
        <v>30</v>
      </c>
      <c r="F66" s="20" t="s">
        <v>14</v>
      </c>
      <c r="G66" s="21">
        <v>26</v>
      </c>
      <c r="H66" s="22">
        <v>66.5</v>
      </c>
      <c r="I66" s="23">
        <v>32</v>
      </c>
      <c r="J66" s="16">
        <f t="shared" si="0"/>
        <v>1729</v>
      </c>
      <c r="K66" s="16">
        <f t="shared" si="1"/>
        <v>832</v>
      </c>
      <c r="L66" s="16">
        <f t="shared" si="2"/>
        <v>897</v>
      </c>
      <c r="M66" s="17">
        <f>IF(AND(J66&lt;&gt;0, K66&lt;&gt;0), Table1[[#This Row],[PROFIT MARGIN (eur)]]/K66, 0)</f>
        <v>1.078125</v>
      </c>
    </row>
    <row r="67" spans="1:13" x14ac:dyDescent="0.3">
      <c r="A67" s="18" t="s">
        <v>159</v>
      </c>
      <c r="B67" s="19">
        <v>46280</v>
      </c>
      <c r="C67" s="11" t="str">
        <f>_xlfn.XLOOKUP(D67, LISTA_PRODOTTI!$B$2:$B$13, LISTA_PRODOTTI!$A$2:$A$13)</f>
        <v>Elettronica</v>
      </c>
      <c r="D67" s="20" t="s">
        <v>71</v>
      </c>
      <c r="E67" s="20" t="s">
        <v>47</v>
      </c>
      <c r="F67" s="20" t="s">
        <v>40</v>
      </c>
      <c r="G67" s="21">
        <v>15</v>
      </c>
      <c r="H67" s="22">
        <v>85</v>
      </c>
      <c r="I67" s="23">
        <v>45</v>
      </c>
      <c r="J67" s="16">
        <f t="shared" ref="J67:J130" si="3">H67*G67</f>
        <v>1275</v>
      </c>
      <c r="K67" s="16">
        <f t="shared" ref="K67:K130" si="4">I67*G67</f>
        <v>675</v>
      </c>
      <c r="L67" s="16">
        <f t="shared" ref="L67:L130" si="5">J67-K67</f>
        <v>600</v>
      </c>
      <c r="M67" s="17">
        <f>IF(AND(J67&lt;&gt;0, K67&lt;&gt;0), Table1[[#This Row],[PROFIT MARGIN (eur)]]/K67, 0)</f>
        <v>0.88888888888888884</v>
      </c>
    </row>
    <row r="68" spans="1:13" x14ac:dyDescent="0.3">
      <c r="A68" s="18" t="s">
        <v>161</v>
      </c>
      <c r="B68" s="19">
        <v>46190</v>
      </c>
      <c r="C68" s="11" t="str">
        <f>_xlfn.XLOOKUP(D68, LISTA_PRODOTTI!$B$2:$B$13, LISTA_PRODOTTI!$A$2:$A$13)</f>
        <v>Arredo</v>
      </c>
      <c r="D68" s="20" t="s">
        <v>34</v>
      </c>
      <c r="E68" s="20" t="s">
        <v>13</v>
      </c>
      <c r="F68" s="20" t="s">
        <v>37</v>
      </c>
      <c r="G68" s="21">
        <v>20</v>
      </c>
      <c r="H68" s="22">
        <v>180</v>
      </c>
      <c r="I68" s="23">
        <v>110</v>
      </c>
      <c r="J68" s="16">
        <f t="shared" si="3"/>
        <v>3600</v>
      </c>
      <c r="K68" s="16">
        <f t="shared" si="4"/>
        <v>2200</v>
      </c>
      <c r="L68" s="16">
        <f t="shared" si="5"/>
        <v>1400</v>
      </c>
      <c r="M68" s="17">
        <f>IF(AND(J68&lt;&gt;0, K68&lt;&gt;0), Table1[[#This Row],[PROFIT MARGIN (eur)]]/K68, 0)</f>
        <v>0.63636363636363635</v>
      </c>
    </row>
    <row r="69" spans="1:13" x14ac:dyDescent="0.3">
      <c r="A69" s="18" t="s">
        <v>164</v>
      </c>
      <c r="B69" s="19">
        <v>46284</v>
      </c>
      <c r="C69" s="11" t="str">
        <f>_xlfn.XLOOKUP(D69, LISTA_PRODOTTI!$B$2:$B$13, LISTA_PRODOTTI!$A$2:$A$13)</f>
        <v>Arredo</v>
      </c>
      <c r="D69" s="20" t="s">
        <v>34</v>
      </c>
      <c r="E69" s="20" t="s">
        <v>30</v>
      </c>
      <c r="F69" s="20" t="s">
        <v>62</v>
      </c>
      <c r="G69" s="21">
        <v>44</v>
      </c>
      <c r="H69" s="22">
        <v>180</v>
      </c>
      <c r="I69" s="23">
        <v>110</v>
      </c>
      <c r="J69" s="16">
        <f t="shared" si="3"/>
        <v>7920</v>
      </c>
      <c r="K69" s="16">
        <f t="shared" si="4"/>
        <v>4840</v>
      </c>
      <c r="L69" s="16">
        <f t="shared" si="5"/>
        <v>3080</v>
      </c>
      <c r="M69" s="17">
        <f>IF(AND(J69&lt;&gt;0, K69&lt;&gt;0), Table1[[#This Row],[PROFIT MARGIN (eur)]]/K69, 0)</f>
        <v>0.63636363636363635</v>
      </c>
    </row>
    <row r="70" spans="1:13" x14ac:dyDescent="0.3">
      <c r="A70" s="18" t="s">
        <v>166</v>
      </c>
      <c r="B70" s="19">
        <v>46237</v>
      </c>
      <c r="C70" s="11" t="str">
        <f>_xlfn.XLOOKUP(D70, LISTA_PRODOTTI!$B$2:$B$13, LISTA_PRODOTTI!$A$2:$A$13)</f>
        <v>Software</v>
      </c>
      <c r="D70" s="20" t="s">
        <v>46</v>
      </c>
      <c r="E70" s="20" t="s">
        <v>13</v>
      </c>
      <c r="F70" s="20" t="s">
        <v>62</v>
      </c>
      <c r="G70" s="21">
        <v>22</v>
      </c>
      <c r="H70" s="22">
        <v>425</v>
      </c>
      <c r="I70" s="23">
        <v>120</v>
      </c>
      <c r="J70" s="16">
        <f t="shared" si="3"/>
        <v>9350</v>
      </c>
      <c r="K70" s="16">
        <f t="shared" si="4"/>
        <v>2640</v>
      </c>
      <c r="L70" s="16">
        <f t="shared" si="5"/>
        <v>6710</v>
      </c>
      <c r="M70" s="17">
        <f>IF(AND(J70&lt;&gt;0, K70&lt;&gt;0), Table1[[#This Row],[PROFIT MARGIN (eur)]]/K70, 0)</f>
        <v>2.5416666666666665</v>
      </c>
    </row>
    <row r="71" spans="1:13" x14ac:dyDescent="0.3">
      <c r="A71" s="18" t="s">
        <v>168</v>
      </c>
      <c r="B71" s="19">
        <v>46248</v>
      </c>
      <c r="C71" s="11" t="str">
        <f>_xlfn.XLOOKUP(D71, LISTA_PRODOTTI!$B$2:$B$13, LISTA_PRODOTTI!$A$2:$A$13)</f>
        <v>Arredo</v>
      </c>
      <c r="D71" s="20" t="s">
        <v>61</v>
      </c>
      <c r="E71" s="20" t="s">
        <v>13</v>
      </c>
      <c r="F71" s="20" t="s">
        <v>40</v>
      </c>
      <c r="G71" s="21">
        <v>31</v>
      </c>
      <c r="H71" s="22">
        <v>38.25</v>
      </c>
      <c r="I71" s="23">
        <v>20</v>
      </c>
      <c r="J71" s="16">
        <f t="shared" si="3"/>
        <v>1185.75</v>
      </c>
      <c r="K71" s="16">
        <f t="shared" si="4"/>
        <v>620</v>
      </c>
      <c r="L71" s="16">
        <f t="shared" si="5"/>
        <v>565.75</v>
      </c>
      <c r="M71" s="17">
        <f>IF(AND(J71&lt;&gt;0, K71&lt;&gt;0), Table1[[#This Row],[PROFIT MARGIN (eur)]]/K71, 0)</f>
        <v>0.91249999999999998</v>
      </c>
    </row>
    <row r="72" spans="1:13" x14ac:dyDescent="0.3">
      <c r="A72" s="18" t="s">
        <v>170</v>
      </c>
      <c r="B72" s="19">
        <v>46248</v>
      </c>
      <c r="C72" s="11" t="str">
        <f>_xlfn.XLOOKUP(D72, LISTA_PRODOTTI!$B$2:$B$13, LISTA_PRODOTTI!$A$2:$A$13)</f>
        <v>Arredo</v>
      </c>
      <c r="D72" s="20" t="s">
        <v>34</v>
      </c>
      <c r="E72" s="20" t="s">
        <v>30</v>
      </c>
      <c r="F72" s="20" t="s">
        <v>24</v>
      </c>
      <c r="G72" s="21">
        <v>2</v>
      </c>
      <c r="H72" s="22">
        <v>180</v>
      </c>
      <c r="I72" s="23">
        <v>110</v>
      </c>
      <c r="J72" s="16">
        <f t="shared" si="3"/>
        <v>360</v>
      </c>
      <c r="K72" s="16">
        <f t="shared" si="4"/>
        <v>220</v>
      </c>
      <c r="L72" s="16">
        <f t="shared" si="5"/>
        <v>140</v>
      </c>
      <c r="M72" s="17">
        <f>IF(AND(J72&lt;&gt;0, K72&lt;&gt;0), Table1[[#This Row],[PROFIT MARGIN (eur)]]/K72, 0)</f>
        <v>0.63636363636363635</v>
      </c>
    </row>
    <row r="73" spans="1:13" x14ac:dyDescent="0.3">
      <c r="A73" s="18" t="s">
        <v>171</v>
      </c>
      <c r="B73" s="19">
        <v>46243</v>
      </c>
      <c r="C73" s="11" t="str">
        <f>_xlfn.XLOOKUP(D73, LISTA_PRODOTTI!$B$2:$B$13, LISTA_PRODOTTI!$A$2:$A$13)</f>
        <v>Software</v>
      </c>
      <c r="D73" s="20" t="s">
        <v>46</v>
      </c>
      <c r="E73" s="20" t="s">
        <v>30</v>
      </c>
      <c r="F73" s="20" t="s">
        <v>62</v>
      </c>
      <c r="G73" s="21">
        <v>26</v>
      </c>
      <c r="H73" s="22">
        <v>475</v>
      </c>
      <c r="I73" s="23">
        <v>120</v>
      </c>
      <c r="J73" s="16">
        <f t="shared" si="3"/>
        <v>12350</v>
      </c>
      <c r="K73" s="16">
        <f t="shared" si="4"/>
        <v>3120</v>
      </c>
      <c r="L73" s="16">
        <f t="shared" si="5"/>
        <v>9230</v>
      </c>
      <c r="M73" s="17">
        <f>IF(AND(J73&lt;&gt;0, K73&lt;&gt;0), Table1[[#This Row],[PROFIT MARGIN (eur)]]/K73, 0)</f>
        <v>2.9583333333333335</v>
      </c>
    </row>
    <row r="74" spans="1:13" x14ac:dyDescent="0.3">
      <c r="A74" s="18" t="s">
        <v>173</v>
      </c>
      <c r="B74" s="19">
        <v>46273</v>
      </c>
      <c r="C74" s="11" t="str">
        <f>_xlfn.XLOOKUP(D74, LISTA_PRODOTTI!$B$2:$B$13, LISTA_PRODOTTI!$A$2:$A$13)</f>
        <v>Software</v>
      </c>
      <c r="D74" s="20" t="s">
        <v>46</v>
      </c>
      <c r="E74" s="20" t="s">
        <v>30</v>
      </c>
      <c r="F74" s="20" t="s">
        <v>14</v>
      </c>
      <c r="G74" s="21">
        <v>5</v>
      </c>
      <c r="H74" s="22">
        <v>500</v>
      </c>
      <c r="I74" s="23">
        <v>120</v>
      </c>
      <c r="J74" s="16">
        <f t="shared" si="3"/>
        <v>2500</v>
      </c>
      <c r="K74" s="16">
        <f t="shared" si="4"/>
        <v>600</v>
      </c>
      <c r="L74" s="16">
        <f t="shared" si="5"/>
        <v>1900</v>
      </c>
      <c r="M74" s="17">
        <f>IF(AND(J74&lt;&gt;0, K74&lt;&gt;0), Table1[[#This Row],[PROFIT MARGIN (eur)]]/K74, 0)</f>
        <v>3.1666666666666665</v>
      </c>
    </row>
    <row r="75" spans="1:13" x14ac:dyDescent="0.3">
      <c r="A75" s="18" t="s">
        <v>175</v>
      </c>
      <c r="B75" s="19">
        <v>46238</v>
      </c>
      <c r="C75" s="11" t="str">
        <f>_xlfn.XLOOKUP(D75, LISTA_PRODOTTI!$B$2:$B$13, LISTA_PRODOTTI!$A$2:$A$13)</f>
        <v>Elettronica</v>
      </c>
      <c r="D75" s="20" t="s">
        <v>108</v>
      </c>
      <c r="E75" s="20" t="s">
        <v>47</v>
      </c>
      <c r="F75" s="20" t="s">
        <v>24</v>
      </c>
      <c r="G75" s="21">
        <v>35</v>
      </c>
      <c r="H75" s="22">
        <v>114</v>
      </c>
      <c r="I75" s="23">
        <v>75</v>
      </c>
      <c r="J75" s="16">
        <f t="shared" si="3"/>
        <v>3990</v>
      </c>
      <c r="K75" s="16">
        <f t="shared" si="4"/>
        <v>2625</v>
      </c>
      <c r="L75" s="16">
        <f t="shared" si="5"/>
        <v>1365</v>
      </c>
      <c r="M75" s="17">
        <f>IF(AND(J75&lt;&gt;0, K75&lt;&gt;0), Table1[[#This Row],[PROFIT MARGIN (eur)]]/K75, 0)</f>
        <v>0.52</v>
      </c>
    </row>
    <row r="76" spans="1:13" x14ac:dyDescent="0.3">
      <c r="A76" s="18" t="s">
        <v>178</v>
      </c>
      <c r="B76" s="19">
        <v>46251</v>
      </c>
      <c r="C76" s="11" t="str">
        <f>_xlfn.XLOOKUP(D76, LISTA_PRODOTTI!$B$2:$B$13, LISTA_PRODOTTI!$A$2:$A$13)</f>
        <v>Software</v>
      </c>
      <c r="D76" s="20" t="s">
        <v>46</v>
      </c>
      <c r="E76" s="20" t="s">
        <v>47</v>
      </c>
      <c r="F76" s="20" t="s">
        <v>360</v>
      </c>
      <c r="G76" s="21">
        <v>1</v>
      </c>
      <c r="H76" s="22">
        <v>475</v>
      </c>
      <c r="I76" s="23">
        <v>120</v>
      </c>
      <c r="J76" s="16">
        <f t="shared" si="3"/>
        <v>475</v>
      </c>
      <c r="K76" s="16">
        <f t="shared" si="4"/>
        <v>120</v>
      </c>
      <c r="L76" s="16">
        <f t="shared" si="5"/>
        <v>355</v>
      </c>
      <c r="M76" s="17">
        <f>IF(AND(J76&lt;&gt;0, K76&lt;&gt;0), Table1[[#This Row],[PROFIT MARGIN (eur)]]/K76, 0)</f>
        <v>2.9583333333333335</v>
      </c>
    </row>
    <row r="77" spans="1:13" x14ac:dyDescent="0.3">
      <c r="A77" s="18" t="s">
        <v>180</v>
      </c>
      <c r="B77" s="19">
        <v>46187</v>
      </c>
      <c r="C77" s="11" t="str">
        <f>_xlfn.XLOOKUP(D77, LISTA_PRODOTTI!$B$2:$B$13, LISTA_PRODOTTI!$A$2:$A$13)</f>
        <v>Software</v>
      </c>
      <c r="D77" s="20" t="s">
        <v>46</v>
      </c>
      <c r="E77" s="20" t="s">
        <v>47</v>
      </c>
      <c r="F77" s="20" t="s">
        <v>40</v>
      </c>
      <c r="G77" s="21">
        <v>14</v>
      </c>
      <c r="H77" s="22">
        <v>500</v>
      </c>
      <c r="I77" s="23">
        <v>120</v>
      </c>
      <c r="J77" s="16">
        <f t="shared" si="3"/>
        <v>7000</v>
      </c>
      <c r="K77" s="16">
        <f t="shared" si="4"/>
        <v>1680</v>
      </c>
      <c r="L77" s="16">
        <f t="shared" si="5"/>
        <v>5320</v>
      </c>
      <c r="M77" s="17">
        <f>IF(AND(J77&lt;&gt;0, K77&lt;&gt;0), Table1[[#This Row],[PROFIT MARGIN (eur)]]/K77, 0)</f>
        <v>3.1666666666666665</v>
      </c>
    </row>
    <row r="78" spans="1:13" x14ac:dyDescent="0.3">
      <c r="A78" s="18" t="s">
        <v>182</v>
      </c>
      <c r="B78" s="19">
        <v>46319</v>
      </c>
      <c r="C78" s="11" t="str">
        <f>_xlfn.XLOOKUP(D78, LISTA_PRODOTTI!$B$2:$B$13, LISTA_PRODOTTI!$A$2:$A$13)</f>
        <v>Software</v>
      </c>
      <c r="D78" s="20" t="s">
        <v>22</v>
      </c>
      <c r="E78" s="20" t="s">
        <v>13</v>
      </c>
      <c r="F78" s="20" t="s">
        <v>24</v>
      </c>
      <c r="G78" s="21">
        <v>33</v>
      </c>
      <c r="H78" s="22">
        <v>60</v>
      </c>
      <c r="I78" s="23">
        <v>15</v>
      </c>
      <c r="J78" s="16">
        <f t="shared" si="3"/>
        <v>1980</v>
      </c>
      <c r="K78" s="16">
        <f t="shared" si="4"/>
        <v>495</v>
      </c>
      <c r="L78" s="16">
        <f t="shared" si="5"/>
        <v>1485</v>
      </c>
      <c r="M78" s="17">
        <f>IF(AND(J78&lt;&gt;0, K78&lt;&gt;0), Table1[[#This Row],[PROFIT MARGIN (eur)]]/K78, 0)</f>
        <v>3</v>
      </c>
    </row>
    <row r="79" spans="1:13" x14ac:dyDescent="0.3">
      <c r="A79" s="18" t="s">
        <v>183</v>
      </c>
      <c r="B79" s="19">
        <v>46226</v>
      </c>
      <c r="C79" s="11" t="str">
        <f>_xlfn.XLOOKUP(D79, LISTA_PRODOTTI!$B$2:$B$13, LISTA_PRODOTTI!$A$2:$A$13)</f>
        <v>Software</v>
      </c>
      <c r="D79" s="20" t="s">
        <v>12</v>
      </c>
      <c r="E79" s="20" t="s">
        <v>19</v>
      </c>
      <c r="F79" s="20" t="s">
        <v>40</v>
      </c>
      <c r="G79" s="21">
        <v>7</v>
      </c>
      <c r="H79" s="22">
        <v>850</v>
      </c>
      <c r="I79" s="23">
        <v>200</v>
      </c>
      <c r="J79" s="16">
        <f t="shared" si="3"/>
        <v>5950</v>
      </c>
      <c r="K79" s="16">
        <f t="shared" si="4"/>
        <v>1400</v>
      </c>
      <c r="L79" s="16">
        <f t="shared" si="5"/>
        <v>4550</v>
      </c>
      <c r="M79" s="17">
        <f>IF(AND(J79&lt;&gt;0, K79&lt;&gt;0), Table1[[#This Row],[PROFIT MARGIN (eur)]]/K79, 0)</f>
        <v>3.25</v>
      </c>
    </row>
    <row r="80" spans="1:13" x14ac:dyDescent="0.3">
      <c r="A80" s="18" t="s">
        <v>186</v>
      </c>
      <c r="B80" s="19">
        <v>46206</v>
      </c>
      <c r="C80" s="11" t="str">
        <f>_xlfn.XLOOKUP(D80, LISTA_PRODOTTI!$B$2:$B$13, LISTA_PRODOTTI!$A$2:$A$13)</f>
        <v>Software</v>
      </c>
      <c r="D80" s="20" t="s">
        <v>12</v>
      </c>
      <c r="E80" s="20" t="s">
        <v>19</v>
      </c>
      <c r="F80" s="20" t="s">
        <v>62</v>
      </c>
      <c r="G80" s="21">
        <v>33</v>
      </c>
      <c r="H80" s="22">
        <v>722.5</v>
      </c>
      <c r="I80" s="23">
        <v>200</v>
      </c>
      <c r="J80" s="16">
        <f t="shared" si="3"/>
        <v>23842.5</v>
      </c>
      <c r="K80" s="16">
        <f t="shared" si="4"/>
        <v>6600</v>
      </c>
      <c r="L80" s="16">
        <f t="shared" si="5"/>
        <v>17242.5</v>
      </c>
      <c r="M80" s="17">
        <f>IF(AND(J80&lt;&gt;0, K80&lt;&gt;0), Table1[[#This Row],[PROFIT MARGIN (eur)]]/K80, 0)</f>
        <v>2.6124999999999998</v>
      </c>
    </row>
    <row r="81" spans="1:13" x14ac:dyDescent="0.3">
      <c r="A81" s="18" t="s">
        <v>188</v>
      </c>
      <c r="B81" s="19">
        <v>46259</v>
      </c>
      <c r="C81" s="11" t="str">
        <f>_xlfn.XLOOKUP(D81, LISTA_PRODOTTI!$B$2:$B$13, LISTA_PRODOTTI!$A$2:$A$13)</f>
        <v>Elettronica</v>
      </c>
      <c r="D81" s="20" t="s">
        <v>58</v>
      </c>
      <c r="E81" s="20" t="s">
        <v>19</v>
      </c>
      <c r="F81" s="20" t="s">
        <v>24</v>
      </c>
      <c r="G81" s="21">
        <v>13</v>
      </c>
      <c r="H81" s="22">
        <v>288</v>
      </c>
      <c r="I81" s="23">
        <v>210</v>
      </c>
      <c r="J81" s="16">
        <f t="shared" si="3"/>
        <v>3744</v>
      </c>
      <c r="K81" s="16">
        <f t="shared" si="4"/>
        <v>2730</v>
      </c>
      <c r="L81" s="16">
        <f t="shared" si="5"/>
        <v>1014</v>
      </c>
      <c r="M81" s="17">
        <f>IF(AND(J81&lt;&gt;0, K81&lt;&gt;0), Table1[[#This Row],[PROFIT MARGIN (eur)]]/K81, 0)</f>
        <v>0.37142857142857144</v>
      </c>
    </row>
    <row r="82" spans="1:13" x14ac:dyDescent="0.3">
      <c r="A82" s="18" t="s">
        <v>190</v>
      </c>
      <c r="B82" s="19">
        <v>46309</v>
      </c>
      <c r="C82" s="11" t="str">
        <f>_xlfn.XLOOKUP(D82, LISTA_PRODOTTI!$B$2:$B$13, LISTA_PRODOTTI!$A$2:$A$13)</f>
        <v>Software</v>
      </c>
      <c r="D82" s="20" t="s">
        <v>46</v>
      </c>
      <c r="E82" s="20" t="s">
        <v>47</v>
      </c>
      <c r="F82" s="20" t="s">
        <v>40</v>
      </c>
      <c r="G82" s="21">
        <v>36</v>
      </c>
      <c r="H82" s="22">
        <v>450</v>
      </c>
      <c r="I82" s="23">
        <v>120</v>
      </c>
      <c r="J82" s="16">
        <f t="shared" si="3"/>
        <v>16200</v>
      </c>
      <c r="K82" s="16">
        <f t="shared" si="4"/>
        <v>4320</v>
      </c>
      <c r="L82" s="16">
        <f t="shared" si="5"/>
        <v>11880</v>
      </c>
      <c r="M82" s="17">
        <f>IF(AND(J82&lt;&gt;0, K82&lt;&gt;0), Table1[[#This Row],[PROFIT MARGIN (eur)]]/K82, 0)</f>
        <v>2.75</v>
      </c>
    </row>
    <row r="83" spans="1:13" x14ac:dyDescent="0.3">
      <c r="A83" s="18" t="s">
        <v>192</v>
      </c>
      <c r="B83" s="19">
        <v>46247</v>
      </c>
      <c r="C83" s="11" t="str">
        <f>_xlfn.XLOOKUP(D83, LISTA_PRODOTTI!$B$2:$B$13, LISTA_PRODOTTI!$A$2:$A$13)</f>
        <v>Arredo</v>
      </c>
      <c r="D83" s="20" t="s">
        <v>18</v>
      </c>
      <c r="E83" s="20" t="s">
        <v>19</v>
      </c>
      <c r="F83" s="20" t="s">
        <v>24</v>
      </c>
      <c r="G83" s="21">
        <v>43</v>
      </c>
      <c r="H83" s="22">
        <v>63</v>
      </c>
      <c r="I83" s="23">
        <v>32</v>
      </c>
      <c r="J83" s="16">
        <f t="shared" si="3"/>
        <v>2709</v>
      </c>
      <c r="K83" s="16">
        <f t="shared" si="4"/>
        <v>1376</v>
      </c>
      <c r="L83" s="16">
        <f t="shared" si="5"/>
        <v>1333</v>
      </c>
      <c r="M83" s="17">
        <f>IF(AND(J83&lt;&gt;0, K83&lt;&gt;0), Table1[[#This Row],[PROFIT MARGIN (eur)]]/K83, 0)</f>
        <v>0.96875</v>
      </c>
    </row>
    <row r="84" spans="1:13" x14ac:dyDescent="0.3">
      <c r="A84" s="18" t="s">
        <v>194</v>
      </c>
      <c r="B84" s="19">
        <v>46284</v>
      </c>
      <c r="C84" s="11" t="str">
        <f>_xlfn.XLOOKUP(D84, LISTA_PRODOTTI!$B$2:$B$13, LISTA_PRODOTTI!$A$2:$A$13)</f>
        <v>Software</v>
      </c>
      <c r="D84" s="20" t="s">
        <v>46</v>
      </c>
      <c r="E84" s="20" t="s">
        <v>30</v>
      </c>
      <c r="F84" s="20" t="s">
        <v>14</v>
      </c>
      <c r="G84" s="21">
        <v>28</v>
      </c>
      <c r="H84" s="22">
        <v>500</v>
      </c>
      <c r="I84" s="23">
        <v>120</v>
      </c>
      <c r="J84" s="16">
        <f t="shared" si="3"/>
        <v>14000</v>
      </c>
      <c r="K84" s="16">
        <f t="shared" si="4"/>
        <v>3360</v>
      </c>
      <c r="L84" s="16">
        <f t="shared" si="5"/>
        <v>10640</v>
      </c>
      <c r="M84" s="17">
        <f>IF(AND(J84&lt;&gt;0, K84&lt;&gt;0), Table1[[#This Row],[PROFIT MARGIN (eur)]]/K84, 0)</f>
        <v>3.1666666666666665</v>
      </c>
    </row>
    <row r="85" spans="1:13" x14ac:dyDescent="0.3">
      <c r="A85" s="18" t="s">
        <v>195</v>
      </c>
      <c r="B85" s="19">
        <v>46214</v>
      </c>
      <c r="C85" s="11" t="str">
        <f>_xlfn.XLOOKUP(D85, LISTA_PRODOTTI!$B$2:$B$13, LISTA_PRODOTTI!$A$2:$A$13)</f>
        <v>Software</v>
      </c>
      <c r="D85" s="20" t="s">
        <v>46</v>
      </c>
      <c r="E85" s="20" t="s">
        <v>13</v>
      </c>
      <c r="F85" s="20" t="s">
        <v>14</v>
      </c>
      <c r="G85" s="21">
        <v>36</v>
      </c>
      <c r="H85" s="22">
        <v>475</v>
      </c>
      <c r="I85" s="23">
        <v>120</v>
      </c>
      <c r="J85" s="16">
        <f t="shared" si="3"/>
        <v>17100</v>
      </c>
      <c r="K85" s="16">
        <f t="shared" si="4"/>
        <v>4320</v>
      </c>
      <c r="L85" s="16">
        <f t="shared" si="5"/>
        <v>12780</v>
      </c>
      <c r="M85" s="17">
        <f>IF(AND(J85&lt;&gt;0, K85&lt;&gt;0), Table1[[#This Row],[PROFIT MARGIN (eur)]]/K85, 0)</f>
        <v>2.9583333333333335</v>
      </c>
    </row>
    <row r="86" spans="1:13" x14ac:dyDescent="0.3">
      <c r="A86" s="18" t="s">
        <v>197</v>
      </c>
      <c r="B86" s="19">
        <v>46288</v>
      </c>
      <c r="C86" s="11" t="str">
        <f>_xlfn.XLOOKUP(D86, LISTA_PRODOTTI!$B$2:$B$13, LISTA_PRODOTTI!$A$2:$A$13)</f>
        <v>Elettronica</v>
      </c>
      <c r="D86" s="20" t="s">
        <v>108</v>
      </c>
      <c r="E86" s="20" t="s">
        <v>19</v>
      </c>
      <c r="F86" s="20" t="s">
        <v>31</v>
      </c>
      <c r="G86" s="21">
        <v>26</v>
      </c>
      <c r="H86" s="22">
        <v>120</v>
      </c>
      <c r="I86" s="23">
        <v>75</v>
      </c>
      <c r="J86" s="16">
        <f t="shared" si="3"/>
        <v>3120</v>
      </c>
      <c r="K86" s="16">
        <f t="shared" si="4"/>
        <v>1950</v>
      </c>
      <c r="L86" s="16">
        <f t="shared" si="5"/>
        <v>1170</v>
      </c>
      <c r="M86" s="17">
        <f>IF(AND(J86&lt;&gt;0, K86&lt;&gt;0), Table1[[#This Row],[PROFIT MARGIN (eur)]]/K86, 0)</f>
        <v>0.6</v>
      </c>
    </row>
    <row r="87" spans="1:13" x14ac:dyDescent="0.3">
      <c r="A87" s="18" t="s">
        <v>199</v>
      </c>
      <c r="B87" s="19">
        <v>46211</v>
      </c>
      <c r="C87" s="11" t="str">
        <f>_xlfn.XLOOKUP(D87, LISTA_PRODOTTI!$B$2:$B$13, LISTA_PRODOTTI!$A$2:$A$13)</f>
        <v>Arredo</v>
      </c>
      <c r="D87" s="20" t="s">
        <v>61</v>
      </c>
      <c r="E87" s="20" t="s">
        <v>13</v>
      </c>
      <c r="F87" s="20" t="s">
        <v>40</v>
      </c>
      <c r="G87" s="21">
        <v>44</v>
      </c>
      <c r="H87" s="22">
        <v>45</v>
      </c>
      <c r="I87" s="23">
        <v>20</v>
      </c>
      <c r="J87" s="16">
        <f t="shared" si="3"/>
        <v>1980</v>
      </c>
      <c r="K87" s="16">
        <f t="shared" si="4"/>
        <v>880</v>
      </c>
      <c r="L87" s="16">
        <f t="shared" si="5"/>
        <v>1100</v>
      </c>
      <c r="M87" s="17">
        <f>IF(AND(J87&lt;&gt;0, K87&lt;&gt;0), Table1[[#This Row],[PROFIT MARGIN (eur)]]/K87, 0)</f>
        <v>1.25</v>
      </c>
    </row>
    <row r="88" spans="1:13" x14ac:dyDescent="0.3">
      <c r="A88" s="18" t="s">
        <v>200</v>
      </c>
      <c r="B88" s="19">
        <v>46261</v>
      </c>
      <c r="C88" s="11" t="str">
        <f>_xlfn.XLOOKUP(D88, LISTA_PRODOTTI!$B$2:$B$13, LISTA_PRODOTTI!$A$2:$A$13)</f>
        <v>Elettronica</v>
      </c>
      <c r="D88" s="20" t="s">
        <v>58</v>
      </c>
      <c r="E88" s="20" t="s">
        <v>30</v>
      </c>
      <c r="F88" s="20" t="s">
        <v>14</v>
      </c>
      <c r="G88" s="21">
        <v>21</v>
      </c>
      <c r="H88" s="22">
        <v>320</v>
      </c>
      <c r="I88" s="23">
        <v>210</v>
      </c>
      <c r="J88" s="16">
        <f t="shared" si="3"/>
        <v>6720</v>
      </c>
      <c r="K88" s="16">
        <f t="shared" si="4"/>
        <v>4410</v>
      </c>
      <c r="L88" s="16">
        <f t="shared" si="5"/>
        <v>2310</v>
      </c>
      <c r="M88" s="17">
        <f>IF(AND(J88&lt;&gt;0, K88&lt;&gt;0), Table1[[#This Row],[PROFIT MARGIN (eur)]]/K88, 0)</f>
        <v>0.52380952380952384</v>
      </c>
    </row>
    <row r="89" spans="1:13" x14ac:dyDescent="0.3">
      <c r="A89" s="18" t="s">
        <v>201</v>
      </c>
      <c r="B89" s="19">
        <v>46291</v>
      </c>
      <c r="C89" s="11" t="str">
        <f>_xlfn.XLOOKUP(D89, LISTA_PRODOTTI!$B$2:$B$13, LISTA_PRODOTTI!$A$2:$A$13)</f>
        <v>Software</v>
      </c>
      <c r="D89" s="20" t="s">
        <v>46</v>
      </c>
      <c r="E89" s="20" t="s">
        <v>47</v>
      </c>
      <c r="F89" s="20" t="s">
        <v>62</v>
      </c>
      <c r="G89" s="21">
        <v>32</v>
      </c>
      <c r="H89" s="22">
        <v>425</v>
      </c>
      <c r="I89" s="23">
        <v>120</v>
      </c>
      <c r="J89" s="16">
        <f t="shared" si="3"/>
        <v>13600</v>
      </c>
      <c r="K89" s="16">
        <f t="shared" si="4"/>
        <v>3840</v>
      </c>
      <c r="L89" s="16">
        <f t="shared" si="5"/>
        <v>9760</v>
      </c>
      <c r="M89" s="17">
        <f>IF(AND(J89&lt;&gt;0, K89&lt;&gt;0), Table1[[#This Row],[PROFIT MARGIN (eur)]]/K89, 0)</f>
        <v>2.5416666666666665</v>
      </c>
    </row>
    <row r="90" spans="1:13" x14ac:dyDescent="0.3">
      <c r="A90" s="18" t="s">
        <v>203</v>
      </c>
      <c r="B90" s="19">
        <v>46235</v>
      </c>
      <c r="C90" s="11" t="str">
        <f>_xlfn.XLOOKUP(D90, LISTA_PRODOTTI!$B$2:$B$13, LISTA_PRODOTTI!$A$2:$A$13)</f>
        <v>Elettronica</v>
      </c>
      <c r="D90" s="20" t="s">
        <v>108</v>
      </c>
      <c r="E90" s="20" t="s">
        <v>19</v>
      </c>
      <c r="F90" s="20" t="s">
        <v>40</v>
      </c>
      <c r="G90" s="21">
        <v>18</v>
      </c>
      <c r="H90" s="22">
        <v>120</v>
      </c>
      <c r="I90" s="23">
        <v>75</v>
      </c>
      <c r="J90" s="16">
        <f t="shared" si="3"/>
        <v>2160</v>
      </c>
      <c r="K90" s="16">
        <f t="shared" si="4"/>
        <v>1350</v>
      </c>
      <c r="L90" s="16">
        <f t="shared" si="5"/>
        <v>810</v>
      </c>
      <c r="M90" s="17">
        <f>IF(AND(J90&lt;&gt;0, K90&lt;&gt;0), Table1[[#This Row],[PROFIT MARGIN (eur)]]/K90, 0)</f>
        <v>0.6</v>
      </c>
    </row>
    <row r="91" spans="1:13" x14ac:dyDescent="0.3">
      <c r="A91" s="18" t="s">
        <v>205</v>
      </c>
      <c r="B91" s="19">
        <v>46286</v>
      </c>
      <c r="C91" s="11" t="str">
        <f>_xlfn.XLOOKUP(D91, LISTA_PRODOTTI!$B$2:$B$13, LISTA_PRODOTTI!$A$2:$A$13)</f>
        <v>Arredo</v>
      </c>
      <c r="D91" s="20" t="s">
        <v>61</v>
      </c>
      <c r="E91" s="20" t="s">
        <v>13</v>
      </c>
      <c r="F91" s="20" t="s">
        <v>37</v>
      </c>
      <c r="G91" s="21">
        <v>39</v>
      </c>
      <c r="H91" s="22">
        <v>45</v>
      </c>
      <c r="I91" s="23">
        <v>20</v>
      </c>
      <c r="J91" s="16">
        <f t="shared" si="3"/>
        <v>1755</v>
      </c>
      <c r="K91" s="16">
        <f t="shared" si="4"/>
        <v>780</v>
      </c>
      <c r="L91" s="16">
        <f t="shared" si="5"/>
        <v>975</v>
      </c>
      <c r="M91" s="17">
        <f>IF(AND(J91&lt;&gt;0, K91&lt;&gt;0), Table1[[#This Row],[PROFIT MARGIN (eur)]]/K91, 0)</f>
        <v>1.25</v>
      </c>
    </row>
    <row r="92" spans="1:13" x14ac:dyDescent="0.3">
      <c r="A92" s="18" t="s">
        <v>207</v>
      </c>
      <c r="B92" s="19">
        <v>46297</v>
      </c>
      <c r="C92" s="11" t="str">
        <f>_xlfn.XLOOKUP(D92, LISTA_PRODOTTI!$B$2:$B$13, LISTA_PRODOTTI!$A$2:$A$13)</f>
        <v>Software</v>
      </c>
      <c r="D92" s="20" t="s">
        <v>22</v>
      </c>
      <c r="E92" s="20" t="s">
        <v>30</v>
      </c>
      <c r="F92" s="20" t="s">
        <v>62</v>
      </c>
      <c r="G92" s="21">
        <v>3</v>
      </c>
      <c r="H92" s="22">
        <v>60</v>
      </c>
      <c r="I92" s="23">
        <v>15</v>
      </c>
      <c r="J92" s="16">
        <f t="shared" si="3"/>
        <v>180</v>
      </c>
      <c r="K92" s="16">
        <f t="shared" si="4"/>
        <v>45</v>
      </c>
      <c r="L92" s="16">
        <f t="shared" si="5"/>
        <v>135</v>
      </c>
      <c r="M92" s="17">
        <f>IF(AND(J92&lt;&gt;0, K92&lt;&gt;0), Table1[[#This Row],[PROFIT MARGIN (eur)]]/K92, 0)</f>
        <v>3</v>
      </c>
    </row>
    <row r="93" spans="1:13" x14ac:dyDescent="0.3">
      <c r="A93" s="18" t="s">
        <v>208</v>
      </c>
      <c r="B93" s="19">
        <v>46240</v>
      </c>
      <c r="C93" s="11" t="str">
        <f>_xlfn.XLOOKUP(D93, LISTA_PRODOTTI!$B$2:$B$13, LISTA_PRODOTTI!$A$2:$A$13)</f>
        <v>Software</v>
      </c>
      <c r="D93" s="20" t="s">
        <v>22</v>
      </c>
      <c r="E93" s="20" t="s">
        <v>30</v>
      </c>
      <c r="F93" s="20" t="s">
        <v>24</v>
      </c>
      <c r="G93" s="21">
        <v>32</v>
      </c>
      <c r="H93" s="22">
        <v>57</v>
      </c>
      <c r="I93" s="23">
        <v>15</v>
      </c>
      <c r="J93" s="16">
        <f t="shared" si="3"/>
        <v>1824</v>
      </c>
      <c r="K93" s="16">
        <f t="shared" si="4"/>
        <v>480</v>
      </c>
      <c r="L93" s="16">
        <f t="shared" si="5"/>
        <v>1344</v>
      </c>
      <c r="M93" s="17">
        <f>IF(AND(J93&lt;&gt;0, K93&lt;&gt;0), Table1[[#This Row],[PROFIT MARGIN (eur)]]/K93, 0)</f>
        <v>2.8</v>
      </c>
    </row>
    <row r="94" spans="1:13" x14ac:dyDescent="0.3">
      <c r="A94" s="18" t="s">
        <v>210</v>
      </c>
      <c r="B94" s="19">
        <v>46315</v>
      </c>
      <c r="C94" s="11" t="str">
        <f>_xlfn.XLOOKUP(D94, LISTA_PRODOTTI!$B$2:$B$13, LISTA_PRODOTTI!$A$2:$A$13)</f>
        <v>Arredo</v>
      </c>
      <c r="D94" s="20" t="s">
        <v>61</v>
      </c>
      <c r="E94" s="20" t="s">
        <v>13</v>
      </c>
      <c r="F94" s="20" t="s">
        <v>37</v>
      </c>
      <c r="G94" s="21">
        <v>19</v>
      </c>
      <c r="H94" s="22">
        <v>38.25</v>
      </c>
      <c r="I94" s="23">
        <v>20</v>
      </c>
      <c r="J94" s="16">
        <f t="shared" si="3"/>
        <v>726.75</v>
      </c>
      <c r="K94" s="16">
        <f t="shared" si="4"/>
        <v>380</v>
      </c>
      <c r="L94" s="16">
        <f t="shared" si="5"/>
        <v>346.75</v>
      </c>
      <c r="M94" s="17">
        <f>IF(AND(J94&lt;&gt;0, K94&lt;&gt;0), Table1[[#This Row],[PROFIT MARGIN (eur)]]/K94, 0)</f>
        <v>0.91249999999999998</v>
      </c>
    </row>
    <row r="95" spans="1:13" x14ac:dyDescent="0.3">
      <c r="A95" s="18" t="s">
        <v>212</v>
      </c>
      <c r="B95" s="19">
        <v>46302</v>
      </c>
      <c r="C95" s="11" t="str">
        <f>_xlfn.XLOOKUP(D95, LISTA_PRODOTTI!$B$2:$B$13, LISTA_PRODOTTI!$A$2:$A$13)</f>
        <v>Software</v>
      </c>
      <c r="D95" s="20" t="s">
        <v>22</v>
      </c>
      <c r="E95" s="20" t="s">
        <v>47</v>
      </c>
      <c r="F95" s="20" t="s">
        <v>31</v>
      </c>
      <c r="G95" s="21">
        <v>20</v>
      </c>
      <c r="H95" s="22">
        <v>51</v>
      </c>
      <c r="I95" s="23">
        <v>15</v>
      </c>
      <c r="J95" s="16">
        <f t="shared" si="3"/>
        <v>1020</v>
      </c>
      <c r="K95" s="16">
        <f t="shared" si="4"/>
        <v>300</v>
      </c>
      <c r="L95" s="16">
        <f t="shared" si="5"/>
        <v>720</v>
      </c>
      <c r="M95" s="17">
        <f>IF(AND(J95&lt;&gt;0, K95&lt;&gt;0), Table1[[#This Row],[PROFIT MARGIN (eur)]]/K95, 0)</f>
        <v>2.4</v>
      </c>
    </row>
    <row r="96" spans="1:13" x14ac:dyDescent="0.3">
      <c r="A96" s="18" t="s">
        <v>214</v>
      </c>
      <c r="B96" s="19">
        <v>46226</v>
      </c>
      <c r="C96" s="11" t="str">
        <f>_xlfn.XLOOKUP(D96, LISTA_PRODOTTI!$B$2:$B$13, LISTA_PRODOTTI!$A$2:$A$13)</f>
        <v>Arredo</v>
      </c>
      <c r="D96" s="20" t="s">
        <v>34</v>
      </c>
      <c r="E96" s="20" t="s">
        <v>13</v>
      </c>
      <c r="F96" s="20" t="s">
        <v>14</v>
      </c>
      <c r="G96" s="21">
        <v>30</v>
      </c>
      <c r="H96" s="22">
        <v>180</v>
      </c>
      <c r="I96" s="23">
        <v>110</v>
      </c>
      <c r="J96" s="16">
        <f t="shared" si="3"/>
        <v>5400</v>
      </c>
      <c r="K96" s="16">
        <f t="shared" si="4"/>
        <v>3300</v>
      </c>
      <c r="L96" s="16">
        <f t="shared" si="5"/>
        <v>2100</v>
      </c>
      <c r="M96" s="17">
        <f>IF(AND(J96&lt;&gt;0, K96&lt;&gt;0), Table1[[#This Row],[PROFIT MARGIN (eur)]]/K96, 0)</f>
        <v>0.63636363636363635</v>
      </c>
    </row>
    <row r="97" spans="1:13" x14ac:dyDescent="0.3">
      <c r="A97" s="18" t="s">
        <v>216</v>
      </c>
      <c r="B97" s="19">
        <v>46288</v>
      </c>
      <c r="C97" s="11" t="str">
        <f>_xlfn.XLOOKUP(D97, LISTA_PRODOTTI!$B$2:$B$13, LISTA_PRODOTTI!$A$2:$A$13)</f>
        <v>Elettronica</v>
      </c>
      <c r="D97" s="20" t="s">
        <v>71</v>
      </c>
      <c r="E97" s="20" t="s">
        <v>47</v>
      </c>
      <c r="F97" s="20" t="s">
        <v>62</v>
      </c>
      <c r="G97" s="21">
        <v>22</v>
      </c>
      <c r="H97" s="22">
        <v>85</v>
      </c>
      <c r="I97" s="23">
        <v>45</v>
      </c>
      <c r="J97" s="16">
        <f t="shared" si="3"/>
        <v>1870</v>
      </c>
      <c r="K97" s="16">
        <f t="shared" si="4"/>
        <v>990</v>
      </c>
      <c r="L97" s="16">
        <f t="shared" si="5"/>
        <v>880</v>
      </c>
      <c r="M97" s="17">
        <f>IF(AND(J97&lt;&gt;0, K97&lt;&gt;0), Table1[[#This Row],[PROFIT MARGIN (eur)]]/K97, 0)</f>
        <v>0.88888888888888884</v>
      </c>
    </row>
    <row r="98" spans="1:13" x14ac:dyDescent="0.3">
      <c r="A98" s="18" t="s">
        <v>217</v>
      </c>
      <c r="B98" s="19">
        <v>46271</v>
      </c>
      <c r="C98" s="11" t="str">
        <f>_xlfn.XLOOKUP(D98, LISTA_PRODOTTI!$B$2:$B$13, LISTA_PRODOTTI!$A$2:$A$13)</f>
        <v>Software</v>
      </c>
      <c r="D98" s="20" t="s">
        <v>22</v>
      </c>
      <c r="E98" s="20" t="s">
        <v>13</v>
      </c>
      <c r="F98" s="20" t="s">
        <v>14</v>
      </c>
      <c r="G98" s="21">
        <v>36</v>
      </c>
      <c r="H98" s="22">
        <v>60</v>
      </c>
      <c r="I98" s="23">
        <v>15</v>
      </c>
      <c r="J98" s="16">
        <f t="shared" si="3"/>
        <v>2160</v>
      </c>
      <c r="K98" s="16">
        <f t="shared" si="4"/>
        <v>540</v>
      </c>
      <c r="L98" s="16">
        <f t="shared" si="5"/>
        <v>1620</v>
      </c>
      <c r="M98" s="17">
        <f>IF(AND(J98&lt;&gt;0, K98&lt;&gt;0), Table1[[#This Row],[PROFIT MARGIN (eur)]]/K98, 0)</f>
        <v>3</v>
      </c>
    </row>
    <row r="99" spans="1:13" x14ac:dyDescent="0.3">
      <c r="A99" s="18" t="s">
        <v>219</v>
      </c>
      <c r="B99" s="19">
        <v>46295</v>
      </c>
      <c r="C99" s="11" t="str">
        <f>_xlfn.XLOOKUP(D99, LISTA_PRODOTTI!$B$2:$B$13, LISTA_PRODOTTI!$A$2:$A$13)</f>
        <v>Elettronica</v>
      </c>
      <c r="D99" s="20" t="s">
        <v>71</v>
      </c>
      <c r="E99" s="20" t="s">
        <v>47</v>
      </c>
      <c r="F99" s="20" t="s">
        <v>62</v>
      </c>
      <c r="G99" s="21">
        <v>31</v>
      </c>
      <c r="H99" s="22">
        <v>80.75</v>
      </c>
      <c r="I99" s="23">
        <v>45</v>
      </c>
      <c r="J99" s="16">
        <f t="shared" si="3"/>
        <v>2503.25</v>
      </c>
      <c r="K99" s="16">
        <f t="shared" si="4"/>
        <v>1395</v>
      </c>
      <c r="L99" s="16">
        <f t="shared" si="5"/>
        <v>1108.25</v>
      </c>
      <c r="M99" s="17">
        <f>IF(AND(J99&lt;&gt;0, K99&lt;&gt;0), Table1[[#This Row],[PROFIT MARGIN (eur)]]/K99, 0)</f>
        <v>0.7944444444444444</v>
      </c>
    </row>
    <row r="100" spans="1:13" x14ac:dyDescent="0.3">
      <c r="A100" s="18" t="s">
        <v>221</v>
      </c>
      <c r="B100" s="19">
        <v>46226</v>
      </c>
      <c r="C100" s="11" t="str">
        <f>_xlfn.XLOOKUP(D100, LISTA_PRODOTTI!$B$2:$B$13, LISTA_PRODOTTI!$A$2:$A$13)</f>
        <v>Elettronica</v>
      </c>
      <c r="D100" s="20" t="s">
        <v>108</v>
      </c>
      <c r="E100" s="20" t="s">
        <v>30</v>
      </c>
      <c r="F100" s="20" t="s">
        <v>24</v>
      </c>
      <c r="G100" s="21">
        <v>2</v>
      </c>
      <c r="H100" s="22">
        <v>108</v>
      </c>
      <c r="I100" s="23">
        <v>75</v>
      </c>
      <c r="J100" s="16">
        <f t="shared" si="3"/>
        <v>216</v>
      </c>
      <c r="K100" s="16">
        <f t="shared" si="4"/>
        <v>150</v>
      </c>
      <c r="L100" s="16">
        <f t="shared" si="5"/>
        <v>66</v>
      </c>
      <c r="M100" s="17">
        <f>IF(AND(J100&lt;&gt;0, K100&lt;&gt;0), Table1[[#This Row],[PROFIT MARGIN (eur)]]/K100, 0)</f>
        <v>0.44</v>
      </c>
    </row>
    <row r="101" spans="1:13" x14ac:dyDescent="0.3">
      <c r="A101" s="18" t="s">
        <v>223</v>
      </c>
      <c r="B101" s="19">
        <v>46288</v>
      </c>
      <c r="C101" s="11" t="str">
        <f>_xlfn.XLOOKUP(D101, LISTA_PRODOTTI!$B$2:$B$13, LISTA_PRODOTTI!$A$2:$A$13)</f>
        <v>Elettronica</v>
      </c>
      <c r="D101" s="20" t="s">
        <v>58</v>
      </c>
      <c r="E101" s="20" t="s">
        <v>30</v>
      </c>
      <c r="F101" s="20" t="s">
        <v>31</v>
      </c>
      <c r="G101" s="21">
        <v>39</v>
      </c>
      <c r="H101" s="22">
        <v>320</v>
      </c>
      <c r="I101" s="23">
        <v>210</v>
      </c>
      <c r="J101" s="16">
        <f t="shared" si="3"/>
        <v>12480</v>
      </c>
      <c r="K101" s="16">
        <f t="shared" si="4"/>
        <v>8190</v>
      </c>
      <c r="L101" s="16">
        <f t="shared" si="5"/>
        <v>4290</v>
      </c>
      <c r="M101" s="17">
        <f>IF(AND(J101&lt;&gt;0, K101&lt;&gt;0), Table1[[#This Row],[PROFIT MARGIN (eur)]]/K101, 0)</f>
        <v>0.52380952380952384</v>
      </c>
    </row>
    <row r="102" spans="1:13" x14ac:dyDescent="0.3">
      <c r="A102" s="18" t="s">
        <v>225</v>
      </c>
      <c r="B102" s="19">
        <v>46242</v>
      </c>
      <c r="C102" s="11" t="str">
        <f>_xlfn.XLOOKUP(D102, LISTA_PRODOTTI!$B$2:$B$13, LISTA_PRODOTTI!$A$2:$A$13)</f>
        <v>Arredo</v>
      </c>
      <c r="D102" s="20" t="s">
        <v>18</v>
      </c>
      <c r="E102" s="20" t="s">
        <v>47</v>
      </c>
      <c r="F102" s="20" t="s">
        <v>40</v>
      </c>
      <c r="G102" s="21">
        <v>43</v>
      </c>
      <c r="H102" s="22">
        <v>70</v>
      </c>
      <c r="I102" s="23">
        <v>32</v>
      </c>
      <c r="J102" s="16">
        <f t="shared" si="3"/>
        <v>3010</v>
      </c>
      <c r="K102" s="16">
        <f t="shared" si="4"/>
        <v>1376</v>
      </c>
      <c r="L102" s="16">
        <f t="shared" si="5"/>
        <v>1634</v>
      </c>
      <c r="M102" s="17">
        <f>IF(AND(J102&lt;&gt;0, K102&lt;&gt;0), Table1[[#This Row],[PROFIT MARGIN (eur)]]/K102, 0)</f>
        <v>1.1875</v>
      </c>
    </row>
    <row r="103" spans="1:13" x14ac:dyDescent="0.3">
      <c r="A103" s="18" t="s">
        <v>226</v>
      </c>
      <c r="B103" s="19">
        <v>46246</v>
      </c>
      <c r="C103" s="11" t="str">
        <f>_xlfn.XLOOKUP(D103, LISTA_PRODOTTI!$B$2:$B$13, LISTA_PRODOTTI!$A$2:$A$13)</f>
        <v>Elettronica</v>
      </c>
      <c r="D103" s="20" t="s">
        <v>108</v>
      </c>
      <c r="E103" s="20" t="s">
        <v>47</v>
      </c>
      <c r="F103" s="20" t="s">
        <v>14</v>
      </c>
      <c r="G103" s="21">
        <v>25</v>
      </c>
      <c r="H103" s="22">
        <v>120</v>
      </c>
      <c r="I103" s="23">
        <v>75</v>
      </c>
      <c r="J103" s="16">
        <f t="shared" si="3"/>
        <v>3000</v>
      </c>
      <c r="K103" s="16">
        <f t="shared" si="4"/>
        <v>1875</v>
      </c>
      <c r="L103" s="16">
        <f t="shared" si="5"/>
        <v>1125</v>
      </c>
      <c r="M103" s="17">
        <f>IF(AND(J103&lt;&gt;0, K103&lt;&gt;0), Table1[[#This Row],[PROFIT MARGIN (eur)]]/K103, 0)</f>
        <v>0.6</v>
      </c>
    </row>
    <row r="104" spans="1:13" x14ac:dyDescent="0.3">
      <c r="A104" s="18" t="s">
        <v>228</v>
      </c>
      <c r="B104" s="19">
        <v>46275</v>
      </c>
      <c r="C104" s="11" t="str">
        <f>_xlfn.XLOOKUP(D104, LISTA_PRODOTTI!$B$2:$B$13, LISTA_PRODOTTI!$A$2:$A$13)</f>
        <v>Software</v>
      </c>
      <c r="D104" s="20" t="s">
        <v>46</v>
      </c>
      <c r="E104" s="20" t="s">
        <v>47</v>
      </c>
      <c r="F104" s="20" t="s">
        <v>62</v>
      </c>
      <c r="G104" s="21">
        <v>17</v>
      </c>
      <c r="H104" s="22">
        <v>500</v>
      </c>
      <c r="I104" s="23">
        <v>120</v>
      </c>
      <c r="J104" s="16">
        <f t="shared" si="3"/>
        <v>8500</v>
      </c>
      <c r="K104" s="16">
        <f t="shared" si="4"/>
        <v>2040</v>
      </c>
      <c r="L104" s="16">
        <f t="shared" si="5"/>
        <v>6460</v>
      </c>
      <c r="M104" s="17">
        <f>IF(AND(J104&lt;&gt;0, K104&lt;&gt;0), Table1[[#This Row],[PROFIT MARGIN (eur)]]/K104, 0)</f>
        <v>3.1666666666666665</v>
      </c>
    </row>
    <row r="105" spans="1:13" x14ac:dyDescent="0.3">
      <c r="A105" s="18" t="s">
        <v>229</v>
      </c>
      <c r="B105" s="19">
        <v>46253</v>
      </c>
      <c r="C105" s="11" t="str">
        <f>_xlfn.XLOOKUP(D105, LISTA_PRODOTTI!$B$2:$B$13, LISTA_PRODOTTI!$A$2:$A$13)</f>
        <v>Software</v>
      </c>
      <c r="D105" s="20" t="s">
        <v>46</v>
      </c>
      <c r="E105" s="20" t="s">
        <v>13</v>
      </c>
      <c r="F105" s="20" t="s">
        <v>24</v>
      </c>
      <c r="G105" s="21">
        <v>16</v>
      </c>
      <c r="H105" s="22">
        <v>475</v>
      </c>
      <c r="I105" s="23">
        <v>120</v>
      </c>
      <c r="J105" s="16">
        <f t="shared" si="3"/>
        <v>7600</v>
      </c>
      <c r="K105" s="16">
        <f t="shared" si="4"/>
        <v>1920</v>
      </c>
      <c r="L105" s="16">
        <f t="shared" si="5"/>
        <v>5680</v>
      </c>
      <c r="M105" s="17">
        <f>IF(AND(J105&lt;&gt;0, K105&lt;&gt;0), Table1[[#This Row],[PROFIT MARGIN (eur)]]/K105, 0)</f>
        <v>2.9583333333333335</v>
      </c>
    </row>
    <row r="106" spans="1:13" x14ac:dyDescent="0.3">
      <c r="A106" s="18" t="s">
        <v>230</v>
      </c>
      <c r="B106" s="19">
        <v>46232</v>
      </c>
      <c r="C106" s="11" t="str">
        <f>_xlfn.XLOOKUP(D106, LISTA_PRODOTTI!$B$2:$B$13, LISTA_PRODOTTI!$A$2:$A$13)</f>
        <v>Elettronica</v>
      </c>
      <c r="D106" s="20" t="s">
        <v>71</v>
      </c>
      <c r="E106" s="20" t="s">
        <v>19</v>
      </c>
      <c r="F106" s="20" t="s">
        <v>62</v>
      </c>
      <c r="G106" s="21">
        <v>23</v>
      </c>
      <c r="H106" s="22">
        <v>85</v>
      </c>
      <c r="I106" s="23">
        <v>45</v>
      </c>
      <c r="J106" s="16">
        <f t="shared" si="3"/>
        <v>1955</v>
      </c>
      <c r="K106" s="16">
        <f t="shared" si="4"/>
        <v>1035</v>
      </c>
      <c r="L106" s="16">
        <f t="shared" si="5"/>
        <v>920</v>
      </c>
      <c r="M106" s="17">
        <f>IF(AND(J106&lt;&gt;0, K106&lt;&gt;0), Table1[[#This Row],[PROFIT MARGIN (eur)]]/K106, 0)</f>
        <v>0.88888888888888884</v>
      </c>
    </row>
    <row r="107" spans="1:13" x14ac:dyDescent="0.3">
      <c r="A107" s="18" t="s">
        <v>232</v>
      </c>
      <c r="B107" s="19">
        <v>46290</v>
      </c>
      <c r="C107" s="11" t="str">
        <f>_xlfn.XLOOKUP(D107, LISTA_PRODOTTI!$B$2:$B$13, LISTA_PRODOTTI!$A$2:$A$13)</f>
        <v>Software</v>
      </c>
      <c r="D107" s="20" t="s">
        <v>22</v>
      </c>
      <c r="E107" s="20" t="s">
        <v>13</v>
      </c>
      <c r="F107" s="20" t="s">
        <v>14</v>
      </c>
      <c r="G107" s="21">
        <v>31</v>
      </c>
      <c r="H107" s="22">
        <v>57</v>
      </c>
      <c r="I107" s="23">
        <v>15</v>
      </c>
      <c r="J107" s="16">
        <f t="shared" si="3"/>
        <v>1767</v>
      </c>
      <c r="K107" s="16">
        <f t="shared" si="4"/>
        <v>465</v>
      </c>
      <c r="L107" s="16">
        <f t="shared" si="5"/>
        <v>1302</v>
      </c>
      <c r="M107" s="17">
        <f>IF(AND(J107&lt;&gt;0, K107&lt;&gt;0), Table1[[#This Row],[PROFIT MARGIN (eur)]]/K107, 0)</f>
        <v>2.8</v>
      </c>
    </row>
    <row r="108" spans="1:13" x14ac:dyDescent="0.3">
      <c r="A108" s="18" t="s">
        <v>233</v>
      </c>
      <c r="B108" s="19">
        <v>46276</v>
      </c>
      <c r="C108" s="11" t="str">
        <f>_xlfn.XLOOKUP(D108, LISTA_PRODOTTI!$B$2:$B$13, LISTA_PRODOTTI!$A$2:$A$13)</f>
        <v>Software</v>
      </c>
      <c r="D108" s="20" t="s">
        <v>12</v>
      </c>
      <c r="E108" s="20" t="s">
        <v>13</v>
      </c>
      <c r="F108" s="20" t="s">
        <v>14</v>
      </c>
      <c r="G108" s="21">
        <v>3</v>
      </c>
      <c r="H108" s="22">
        <v>722.5</v>
      </c>
      <c r="I108" s="23">
        <v>200</v>
      </c>
      <c r="J108" s="16">
        <f t="shared" si="3"/>
        <v>2167.5</v>
      </c>
      <c r="K108" s="16">
        <f t="shared" si="4"/>
        <v>600</v>
      </c>
      <c r="L108" s="16">
        <f t="shared" si="5"/>
        <v>1567.5</v>
      </c>
      <c r="M108" s="17">
        <f>IF(AND(J108&lt;&gt;0, K108&lt;&gt;0), Table1[[#This Row],[PROFIT MARGIN (eur)]]/K108, 0)</f>
        <v>2.6124999999999998</v>
      </c>
    </row>
    <row r="109" spans="1:13" x14ac:dyDescent="0.3">
      <c r="A109" s="18" t="s">
        <v>235</v>
      </c>
      <c r="B109" s="19">
        <v>46212</v>
      </c>
      <c r="C109" s="11" t="str">
        <f>_xlfn.XLOOKUP(D109, LISTA_PRODOTTI!$B$2:$B$13, LISTA_PRODOTTI!$A$2:$A$13)</f>
        <v>Elettronica</v>
      </c>
      <c r="D109" s="20" t="s">
        <v>51</v>
      </c>
      <c r="E109" s="20" t="s">
        <v>13</v>
      </c>
      <c r="F109" s="20" t="s">
        <v>37</v>
      </c>
      <c r="G109" s="21">
        <v>18</v>
      </c>
      <c r="H109" s="22">
        <v>95</v>
      </c>
      <c r="I109" s="23">
        <v>40</v>
      </c>
      <c r="J109" s="16">
        <f t="shared" si="3"/>
        <v>1710</v>
      </c>
      <c r="K109" s="16">
        <f t="shared" si="4"/>
        <v>720</v>
      </c>
      <c r="L109" s="16">
        <f t="shared" si="5"/>
        <v>990</v>
      </c>
      <c r="M109" s="17">
        <f>IF(AND(J109&lt;&gt;0, K109&lt;&gt;0), Table1[[#This Row],[PROFIT MARGIN (eur)]]/K109, 0)</f>
        <v>1.375</v>
      </c>
    </row>
    <row r="110" spans="1:13" x14ac:dyDescent="0.3">
      <c r="A110" s="18" t="s">
        <v>236</v>
      </c>
      <c r="B110" s="19">
        <v>46228</v>
      </c>
      <c r="C110" s="11" t="str">
        <f>_xlfn.XLOOKUP(D110, LISTA_PRODOTTI!$B$2:$B$13, LISTA_PRODOTTI!$A$2:$A$13)</f>
        <v>Arredo</v>
      </c>
      <c r="D110" s="20" t="s">
        <v>34</v>
      </c>
      <c r="E110" s="20" t="s">
        <v>13</v>
      </c>
      <c r="F110" s="20" t="s">
        <v>37</v>
      </c>
      <c r="G110" s="21">
        <v>18</v>
      </c>
      <c r="H110" s="22">
        <v>180</v>
      </c>
      <c r="I110" s="23">
        <v>110</v>
      </c>
      <c r="J110" s="16">
        <f t="shared" si="3"/>
        <v>3240</v>
      </c>
      <c r="K110" s="16">
        <f t="shared" si="4"/>
        <v>1980</v>
      </c>
      <c r="L110" s="16">
        <f t="shared" si="5"/>
        <v>1260</v>
      </c>
      <c r="M110" s="17">
        <f>IF(AND(J110&lt;&gt;0, K110&lt;&gt;0), Table1[[#This Row],[PROFIT MARGIN (eur)]]/K110, 0)</f>
        <v>0.63636363636363635</v>
      </c>
    </row>
    <row r="111" spans="1:13" x14ac:dyDescent="0.3">
      <c r="A111" s="18" t="s">
        <v>237</v>
      </c>
      <c r="B111" s="19">
        <v>46235</v>
      </c>
      <c r="C111" s="11" t="str">
        <f>_xlfn.XLOOKUP(D111, LISTA_PRODOTTI!$B$2:$B$13, LISTA_PRODOTTI!$A$2:$A$13)</f>
        <v>Elettronica</v>
      </c>
      <c r="D111" s="20" t="s">
        <v>51</v>
      </c>
      <c r="E111" s="20" t="s">
        <v>19</v>
      </c>
      <c r="F111" s="20" t="s">
        <v>24</v>
      </c>
      <c r="G111" s="21">
        <v>25</v>
      </c>
      <c r="H111" s="22">
        <v>85.5</v>
      </c>
      <c r="I111" s="23">
        <v>40</v>
      </c>
      <c r="J111" s="16">
        <f t="shared" si="3"/>
        <v>2137.5</v>
      </c>
      <c r="K111" s="16">
        <f t="shared" si="4"/>
        <v>1000</v>
      </c>
      <c r="L111" s="16">
        <f t="shared" si="5"/>
        <v>1137.5</v>
      </c>
      <c r="M111" s="17">
        <f>IF(AND(J111&lt;&gt;0, K111&lt;&gt;0), Table1[[#This Row],[PROFIT MARGIN (eur)]]/K111, 0)</f>
        <v>1.1375</v>
      </c>
    </row>
    <row r="112" spans="1:13" x14ac:dyDescent="0.3">
      <c r="A112" s="18" t="s">
        <v>239</v>
      </c>
      <c r="B112" s="19">
        <v>46315</v>
      </c>
      <c r="C112" s="11" t="str">
        <f>_xlfn.XLOOKUP(D112, LISTA_PRODOTTI!$B$2:$B$13, LISTA_PRODOTTI!$A$2:$A$13)</f>
        <v>Arredo</v>
      </c>
      <c r="D112" s="20" t="s">
        <v>18</v>
      </c>
      <c r="E112" s="20" t="s">
        <v>13</v>
      </c>
      <c r="F112" s="20" t="s">
        <v>62</v>
      </c>
      <c r="G112" s="21">
        <v>1</v>
      </c>
      <c r="H112" s="22">
        <v>59.5</v>
      </c>
      <c r="I112" s="23">
        <v>32</v>
      </c>
      <c r="J112" s="16">
        <f t="shared" si="3"/>
        <v>59.5</v>
      </c>
      <c r="K112" s="16">
        <f t="shared" si="4"/>
        <v>32</v>
      </c>
      <c r="L112" s="16">
        <f t="shared" si="5"/>
        <v>27.5</v>
      </c>
      <c r="M112" s="17">
        <f>IF(AND(J112&lt;&gt;0, K112&lt;&gt;0), Table1[[#This Row],[PROFIT MARGIN (eur)]]/K112, 0)</f>
        <v>0.859375</v>
      </c>
    </row>
    <row r="113" spans="1:13" x14ac:dyDescent="0.3">
      <c r="A113" s="18" t="s">
        <v>240</v>
      </c>
      <c r="B113" s="19">
        <v>46261</v>
      </c>
      <c r="C113" s="11" t="str">
        <f>_xlfn.XLOOKUP(D113, LISTA_PRODOTTI!$B$2:$B$13, LISTA_PRODOTTI!$A$2:$A$13)</f>
        <v>Software</v>
      </c>
      <c r="D113" s="20" t="s">
        <v>22</v>
      </c>
      <c r="E113" s="20" t="s">
        <v>13</v>
      </c>
      <c r="F113" s="20" t="s">
        <v>40</v>
      </c>
      <c r="G113" s="21">
        <v>6</v>
      </c>
      <c r="H113" s="22">
        <v>57</v>
      </c>
      <c r="I113" s="23">
        <v>15</v>
      </c>
      <c r="J113" s="16">
        <f t="shared" si="3"/>
        <v>342</v>
      </c>
      <c r="K113" s="16">
        <f t="shared" si="4"/>
        <v>90</v>
      </c>
      <c r="L113" s="16">
        <f t="shared" si="5"/>
        <v>252</v>
      </c>
      <c r="M113" s="17">
        <f>IF(AND(J113&lt;&gt;0, K113&lt;&gt;0), Table1[[#This Row],[PROFIT MARGIN (eur)]]/K113, 0)</f>
        <v>2.8</v>
      </c>
    </row>
    <row r="114" spans="1:13" x14ac:dyDescent="0.3">
      <c r="A114" s="18" t="s">
        <v>242</v>
      </c>
      <c r="B114" s="19">
        <v>46225</v>
      </c>
      <c r="C114" s="11" t="str">
        <f>_xlfn.XLOOKUP(D114, LISTA_PRODOTTI!$B$2:$B$13, LISTA_PRODOTTI!$A$2:$A$13)</f>
        <v>Elettronica</v>
      </c>
      <c r="D114" s="20" t="s">
        <v>112</v>
      </c>
      <c r="E114" s="20" t="s">
        <v>19</v>
      </c>
      <c r="F114" s="20" t="s">
        <v>14</v>
      </c>
      <c r="G114" s="21">
        <v>43</v>
      </c>
      <c r="H114" s="22">
        <v>65</v>
      </c>
      <c r="I114" s="23">
        <v>28</v>
      </c>
      <c r="J114" s="16">
        <f t="shared" si="3"/>
        <v>2795</v>
      </c>
      <c r="K114" s="16">
        <f t="shared" si="4"/>
        <v>1204</v>
      </c>
      <c r="L114" s="16">
        <f t="shared" si="5"/>
        <v>1591</v>
      </c>
      <c r="M114" s="17">
        <f>IF(AND(J114&lt;&gt;0, K114&lt;&gt;0), Table1[[#This Row],[PROFIT MARGIN (eur)]]/K114, 0)</f>
        <v>1.3214285714285714</v>
      </c>
    </row>
    <row r="115" spans="1:13" x14ac:dyDescent="0.3">
      <c r="A115" s="18" t="s">
        <v>244</v>
      </c>
      <c r="B115" s="19">
        <v>46293</v>
      </c>
      <c r="C115" s="11" t="str">
        <f>_xlfn.XLOOKUP(D115, LISTA_PRODOTTI!$B$2:$B$13, LISTA_PRODOTTI!$A$2:$A$13)</f>
        <v>Elettronica</v>
      </c>
      <c r="D115" s="20" t="s">
        <v>108</v>
      </c>
      <c r="E115" s="20" t="s">
        <v>30</v>
      </c>
      <c r="F115" s="20" t="s">
        <v>14</v>
      </c>
      <c r="G115" s="21">
        <v>42</v>
      </c>
      <c r="H115" s="22">
        <v>120</v>
      </c>
      <c r="I115" s="23">
        <v>75</v>
      </c>
      <c r="J115" s="16">
        <f t="shared" si="3"/>
        <v>5040</v>
      </c>
      <c r="K115" s="16">
        <f t="shared" si="4"/>
        <v>3150</v>
      </c>
      <c r="L115" s="16">
        <f t="shared" si="5"/>
        <v>1890</v>
      </c>
      <c r="M115" s="17">
        <f>IF(AND(J115&lt;&gt;0, K115&lt;&gt;0), Table1[[#This Row],[PROFIT MARGIN (eur)]]/K115, 0)</f>
        <v>0.6</v>
      </c>
    </row>
    <row r="116" spans="1:13" x14ac:dyDescent="0.3">
      <c r="A116" s="18" t="s">
        <v>246</v>
      </c>
      <c r="B116" s="19">
        <v>46186</v>
      </c>
      <c r="C116" s="11" t="str">
        <f>_xlfn.XLOOKUP(D116, LISTA_PRODOTTI!$B$2:$B$13, LISTA_PRODOTTI!$A$2:$A$13)</f>
        <v>Software</v>
      </c>
      <c r="D116" s="20" t="s">
        <v>46</v>
      </c>
      <c r="E116" s="20" t="s">
        <v>19</v>
      </c>
      <c r="F116" s="20" t="s">
        <v>37</v>
      </c>
      <c r="G116" s="21">
        <v>34</v>
      </c>
      <c r="H116" s="22">
        <v>500</v>
      </c>
      <c r="I116" s="23">
        <v>120</v>
      </c>
      <c r="J116" s="16">
        <f t="shared" si="3"/>
        <v>17000</v>
      </c>
      <c r="K116" s="16">
        <f t="shared" si="4"/>
        <v>4080</v>
      </c>
      <c r="L116" s="16">
        <f t="shared" si="5"/>
        <v>12920</v>
      </c>
      <c r="M116" s="17">
        <f>IF(AND(J116&lt;&gt;0, K116&lt;&gt;0), Table1[[#This Row],[PROFIT MARGIN (eur)]]/K116, 0)</f>
        <v>3.1666666666666665</v>
      </c>
    </row>
    <row r="117" spans="1:13" x14ac:dyDescent="0.3">
      <c r="A117" s="18" t="s">
        <v>248</v>
      </c>
      <c r="B117" s="19">
        <v>46310</v>
      </c>
      <c r="C117" s="11" t="str">
        <f>_xlfn.XLOOKUP(D117, LISTA_PRODOTTI!$B$2:$B$13, LISTA_PRODOTTI!$A$2:$A$13)</f>
        <v>Arredo</v>
      </c>
      <c r="D117" s="20" t="s">
        <v>18</v>
      </c>
      <c r="E117" s="20" t="s">
        <v>47</v>
      </c>
      <c r="F117" s="20" t="s">
        <v>62</v>
      </c>
      <c r="G117" s="21">
        <v>5</v>
      </c>
      <c r="H117" s="22">
        <v>70</v>
      </c>
      <c r="I117" s="23">
        <v>32</v>
      </c>
      <c r="J117" s="16">
        <f t="shared" si="3"/>
        <v>350</v>
      </c>
      <c r="K117" s="16">
        <f t="shared" si="4"/>
        <v>160</v>
      </c>
      <c r="L117" s="16">
        <f t="shared" si="5"/>
        <v>190</v>
      </c>
      <c r="M117" s="17">
        <f>IF(AND(J117&lt;&gt;0, K117&lt;&gt;0), Table1[[#This Row],[PROFIT MARGIN (eur)]]/K117, 0)</f>
        <v>1.1875</v>
      </c>
    </row>
    <row r="118" spans="1:13" x14ac:dyDescent="0.3">
      <c r="A118" s="18" t="s">
        <v>250</v>
      </c>
      <c r="B118" s="19">
        <v>46245</v>
      </c>
      <c r="C118" s="11" t="str">
        <f>_xlfn.XLOOKUP(D118, LISTA_PRODOTTI!$B$2:$B$13, LISTA_PRODOTTI!$A$2:$A$13)</f>
        <v>Arredo</v>
      </c>
      <c r="D118" s="20" t="s">
        <v>34</v>
      </c>
      <c r="E118" s="20" t="s">
        <v>30</v>
      </c>
      <c r="F118" s="20" t="s">
        <v>37</v>
      </c>
      <c r="G118" s="21">
        <v>28</v>
      </c>
      <c r="H118" s="22">
        <v>153</v>
      </c>
      <c r="I118" s="23">
        <v>110</v>
      </c>
      <c r="J118" s="16">
        <f t="shared" si="3"/>
        <v>4284</v>
      </c>
      <c r="K118" s="16">
        <f t="shared" si="4"/>
        <v>3080</v>
      </c>
      <c r="L118" s="16">
        <f t="shared" si="5"/>
        <v>1204</v>
      </c>
      <c r="M118" s="17">
        <f>IF(AND(J118&lt;&gt;0, K118&lt;&gt;0), Table1[[#This Row],[PROFIT MARGIN (eur)]]/K118, 0)</f>
        <v>0.39090909090909093</v>
      </c>
    </row>
    <row r="119" spans="1:13" x14ac:dyDescent="0.3">
      <c r="A119" s="18" t="s">
        <v>252</v>
      </c>
      <c r="B119" s="19">
        <v>46235</v>
      </c>
      <c r="C119" s="11" t="str">
        <f>_xlfn.XLOOKUP(D119, LISTA_PRODOTTI!$B$2:$B$13, LISTA_PRODOTTI!$A$2:$A$13)</f>
        <v>Arredo</v>
      </c>
      <c r="D119" s="20" t="s">
        <v>61</v>
      </c>
      <c r="E119" s="20" t="s">
        <v>19</v>
      </c>
      <c r="F119" s="20" t="s">
        <v>40</v>
      </c>
      <c r="G119" s="21">
        <v>13</v>
      </c>
      <c r="H119" s="22">
        <v>38.25</v>
      </c>
      <c r="I119" s="23">
        <v>20</v>
      </c>
      <c r="J119" s="16">
        <f t="shared" si="3"/>
        <v>497.25</v>
      </c>
      <c r="K119" s="16">
        <f t="shared" si="4"/>
        <v>260</v>
      </c>
      <c r="L119" s="16">
        <f t="shared" si="5"/>
        <v>237.25</v>
      </c>
      <c r="M119" s="17">
        <f>IF(AND(J119&lt;&gt;0, K119&lt;&gt;0), Table1[[#This Row],[PROFIT MARGIN (eur)]]/K119, 0)</f>
        <v>0.91249999999999998</v>
      </c>
    </row>
    <row r="120" spans="1:13" x14ac:dyDescent="0.3">
      <c r="A120" s="18" t="s">
        <v>253</v>
      </c>
      <c r="B120" s="19">
        <v>46265</v>
      </c>
      <c r="C120" s="11" t="str">
        <f>_xlfn.XLOOKUP(D120, LISTA_PRODOTTI!$B$2:$B$13, LISTA_PRODOTTI!$A$2:$A$13)</f>
        <v>Software</v>
      </c>
      <c r="D120" s="20" t="s">
        <v>46</v>
      </c>
      <c r="E120" s="20" t="s">
        <v>13</v>
      </c>
      <c r="F120" s="20" t="s">
        <v>62</v>
      </c>
      <c r="G120" s="21">
        <v>42</v>
      </c>
      <c r="H120" s="22">
        <v>450</v>
      </c>
      <c r="I120" s="23">
        <v>120</v>
      </c>
      <c r="J120" s="16">
        <f t="shared" si="3"/>
        <v>18900</v>
      </c>
      <c r="K120" s="16">
        <f t="shared" si="4"/>
        <v>5040</v>
      </c>
      <c r="L120" s="16">
        <f t="shared" si="5"/>
        <v>13860</v>
      </c>
      <c r="M120" s="17">
        <f>IF(AND(J120&lt;&gt;0, K120&lt;&gt;0), Table1[[#This Row],[PROFIT MARGIN (eur)]]/K120, 0)</f>
        <v>2.75</v>
      </c>
    </row>
    <row r="121" spans="1:13" x14ac:dyDescent="0.3">
      <c r="A121" s="18" t="s">
        <v>255</v>
      </c>
      <c r="B121" s="19">
        <v>46218</v>
      </c>
      <c r="C121" s="11" t="str">
        <f>_xlfn.XLOOKUP(D121, LISTA_PRODOTTI!$B$2:$B$13, LISTA_PRODOTTI!$A$2:$A$13)</f>
        <v>Software</v>
      </c>
      <c r="D121" s="20" t="s">
        <v>12</v>
      </c>
      <c r="E121" s="20" t="s">
        <v>19</v>
      </c>
      <c r="F121" s="20" t="s">
        <v>40</v>
      </c>
      <c r="G121" s="21">
        <v>30</v>
      </c>
      <c r="H121" s="22">
        <v>850</v>
      </c>
      <c r="I121" s="23">
        <v>200</v>
      </c>
      <c r="J121" s="16">
        <f t="shared" si="3"/>
        <v>25500</v>
      </c>
      <c r="K121" s="16">
        <f t="shared" si="4"/>
        <v>6000</v>
      </c>
      <c r="L121" s="16">
        <f t="shared" si="5"/>
        <v>19500</v>
      </c>
      <c r="M121" s="17">
        <f>IF(AND(J121&lt;&gt;0, K121&lt;&gt;0), Table1[[#This Row],[PROFIT MARGIN (eur)]]/K121, 0)</f>
        <v>3.25</v>
      </c>
    </row>
    <row r="122" spans="1:13" x14ac:dyDescent="0.3">
      <c r="A122" s="18" t="s">
        <v>257</v>
      </c>
      <c r="B122" s="19">
        <v>46212</v>
      </c>
      <c r="C122" s="11" t="str">
        <f>_xlfn.XLOOKUP(D122, LISTA_PRODOTTI!$B$2:$B$13, LISTA_PRODOTTI!$A$2:$A$13)</f>
        <v>Elettronica</v>
      </c>
      <c r="D122" s="20" t="s">
        <v>58</v>
      </c>
      <c r="E122" s="20" t="s">
        <v>13</v>
      </c>
      <c r="F122" s="20" t="s">
        <v>14</v>
      </c>
      <c r="G122" s="21">
        <v>24</v>
      </c>
      <c r="H122" s="22">
        <v>272</v>
      </c>
      <c r="I122" s="23">
        <v>210</v>
      </c>
      <c r="J122" s="16">
        <f t="shared" si="3"/>
        <v>6528</v>
      </c>
      <c r="K122" s="16">
        <f t="shared" si="4"/>
        <v>5040</v>
      </c>
      <c r="L122" s="16">
        <f t="shared" si="5"/>
        <v>1488</v>
      </c>
      <c r="M122" s="17">
        <f>IF(AND(J122&lt;&gt;0, K122&lt;&gt;0), Table1[[#This Row],[PROFIT MARGIN (eur)]]/K122, 0)</f>
        <v>0.29523809523809524</v>
      </c>
    </row>
    <row r="123" spans="1:13" x14ac:dyDescent="0.3">
      <c r="A123" s="18" t="s">
        <v>259</v>
      </c>
      <c r="B123" s="19">
        <v>46247</v>
      </c>
      <c r="C123" s="11" t="str">
        <f>_xlfn.XLOOKUP(D123, LISTA_PRODOTTI!$B$2:$B$13, LISTA_PRODOTTI!$A$2:$A$13)</f>
        <v>Arredo</v>
      </c>
      <c r="D123" s="20" t="s">
        <v>61</v>
      </c>
      <c r="E123" s="20" t="s">
        <v>47</v>
      </c>
      <c r="F123" s="20" t="s">
        <v>24</v>
      </c>
      <c r="G123" s="21">
        <v>37</v>
      </c>
      <c r="H123" s="22">
        <v>38.25</v>
      </c>
      <c r="I123" s="23">
        <v>20</v>
      </c>
      <c r="J123" s="16">
        <f t="shared" si="3"/>
        <v>1415.25</v>
      </c>
      <c r="K123" s="16">
        <f t="shared" si="4"/>
        <v>740</v>
      </c>
      <c r="L123" s="16">
        <f t="shared" si="5"/>
        <v>675.25</v>
      </c>
      <c r="M123" s="17">
        <f>IF(AND(J123&lt;&gt;0, K123&lt;&gt;0), Table1[[#This Row],[PROFIT MARGIN (eur)]]/K123, 0)</f>
        <v>0.91249999999999998</v>
      </c>
    </row>
    <row r="124" spans="1:13" x14ac:dyDescent="0.3">
      <c r="A124" s="18" t="s">
        <v>260</v>
      </c>
      <c r="B124" s="19">
        <v>46241</v>
      </c>
      <c r="C124" s="11" t="str">
        <f>_xlfn.XLOOKUP(D124, LISTA_PRODOTTI!$B$2:$B$13, LISTA_PRODOTTI!$A$2:$A$13)</f>
        <v>Elettronica</v>
      </c>
      <c r="D124" s="20" t="s">
        <v>51</v>
      </c>
      <c r="E124" s="20" t="s">
        <v>19</v>
      </c>
      <c r="F124" s="20" t="s">
        <v>24</v>
      </c>
      <c r="G124" s="21">
        <v>1</v>
      </c>
      <c r="H124" s="22">
        <v>90.25</v>
      </c>
      <c r="I124" s="23">
        <v>40</v>
      </c>
      <c r="J124" s="16">
        <f t="shared" si="3"/>
        <v>90.25</v>
      </c>
      <c r="K124" s="16">
        <f t="shared" si="4"/>
        <v>40</v>
      </c>
      <c r="L124" s="16">
        <f t="shared" si="5"/>
        <v>50.25</v>
      </c>
      <c r="M124" s="17">
        <f>IF(AND(J124&lt;&gt;0, K124&lt;&gt;0), Table1[[#This Row],[PROFIT MARGIN (eur)]]/K124, 0)</f>
        <v>1.2562500000000001</v>
      </c>
    </row>
    <row r="125" spans="1:13" x14ac:dyDescent="0.3">
      <c r="A125" s="18" t="s">
        <v>262</v>
      </c>
      <c r="B125" s="19">
        <v>46202</v>
      </c>
      <c r="C125" s="11" t="str">
        <f>_xlfn.XLOOKUP(D125, LISTA_PRODOTTI!$B$2:$B$13, LISTA_PRODOTTI!$A$2:$A$13)</f>
        <v>Software</v>
      </c>
      <c r="D125" s="20" t="s">
        <v>12</v>
      </c>
      <c r="E125" s="20" t="s">
        <v>30</v>
      </c>
      <c r="F125" s="20" t="s">
        <v>37</v>
      </c>
      <c r="G125" s="21">
        <v>11</v>
      </c>
      <c r="H125" s="22">
        <v>850</v>
      </c>
      <c r="I125" s="23">
        <v>200</v>
      </c>
      <c r="J125" s="16">
        <f t="shared" si="3"/>
        <v>9350</v>
      </c>
      <c r="K125" s="16">
        <f t="shared" si="4"/>
        <v>2200</v>
      </c>
      <c r="L125" s="16">
        <f t="shared" si="5"/>
        <v>7150</v>
      </c>
      <c r="M125" s="17">
        <f>IF(AND(J125&lt;&gt;0, K125&lt;&gt;0), Table1[[#This Row],[PROFIT MARGIN (eur)]]/K125, 0)</f>
        <v>3.25</v>
      </c>
    </row>
    <row r="126" spans="1:13" x14ac:dyDescent="0.3">
      <c r="A126" s="18" t="s">
        <v>264</v>
      </c>
      <c r="B126" s="19">
        <v>46231</v>
      </c>
      <c r="C126" s="11" t="str">
        <f>_xlfn.XLOOKUP(D126, LISTA_PRODOTTI!$B$2:$B$13, LISTA_PRODOTTI!$A$2:$A$13)</f>
        <v>Arredo</v>
      </c>
      <c r="D126" s="20" t="s">
        <v>34</v>
      </c>
      <c r="E126" s="20" t="s">
        <v>30</v>
      </c>
      <c r="F126" s="20" t="s">
        <v>62</v>
      </c>
      <c r="G126" s="21">
        <v>35</v>
      </c>
      <c r="H126" s="22">
        <v>153</v>
      </c>
      <c r="I126" s="23">
        <v>110</v>
      </c>
      <c r="J126" s="16">
        <f t="shared" si="3"/>
        <v>5355</v>
      </c>
      <c r="K126" s="16">
        <f t="shared" si="4"/>
        <v>3850</v>
      </c>
      <c r="L126" s="16">
        <f t="shared" si="5"/>
        <v>1505</v>
      </c>
      <c r="M126" s="17">
        <f>IF(AND(J126&lt;&gt;0, K126&lt;&gt;0), Table1[[#This Row],[PROFIT MARGIN (eur)]]/K126, 0)</f>
        <v>0.39090909090909093</v>
      </c>
    </row>
    <row r="127" spans="1:13" x14ac:dyDescent="0.3">
      <c r="A127" s="18" t="s">
        <v>266</v>
      </c>
      <c r="B127" s="19">
        <v>46248</v>
      </c>
      <c r="C127" s="11" t="str">
        <f>_xlfn.XLOOKUP(D127, LISTA_PRODOTTI!$B$2:$B$13, LISTA_PRODOTTI!$A$2:$A$13)</f>
        <v>Arredo</v>
      </c>
      <c r="D127" s="20" t="s">
        <v>61</v>
      </c>
      <c r="E127" s="20" t="s">
        <v>19</v>
      </c>
      <c r="F127" s="20" t="s">
        <v>40</v>
      </c>
      <c r="G127" s="21">
        <v>27</v>
      </c>
      <c r="H127" s="22">
        <v>45</v>
      </c>
      <c r="I127" s="23">
        <v>20</v>
      </c>
      <c r="J127" s="16">
        <f t="shared" si="3"/>
        <v>1215</v>
      </c>
      <c r="K127" s="16">
        <f t="shared" si="4"/>
        <v>540</v>
      </c>
      <c r="L127" s="16">
        <f t="shared" si="5"/>
        <v>675</v>
      </c>
      <c r="M127" s="17">
        <f>IF(AND(J127&lt;&gt;0, K127&lt;&gt;0), Table1[[#This Row],[PROFIT MARGIN (eur)]]/K127, 0)</f>
        <v>1.25</v>
      </c>
    </row>
    <row r="128" spans="1:13" x14ac:dyDescent="0.3">
      <c r="A128" s="18" t="s">
        <v>268</v>
      </c>
      <c r="B128" s="19">
        <v>46194</v>
      </c>
      <c r="C128" s="11" t="str">
        <f>_xlfn.XLOOKUP(D128, LISTA_PRODOTTI!$B$2:$B$13, LISTA_PRODOTTI!$A$2:$A$13)</f>
        <v>Elettronica</v>
      </c>
      <c r="D128" s="20" t="s">
        <v>58</v>
      </c>
      <c r="E128" s="20" t="s">
        <v>47</v>
      </c>
      <c r="F128" s="20" t="s">
        <v>62</v>
      </c>
      <c r="G128" s="21">
        <v>5</v>
      </c>
      <c r="H128" s="22">
        <v>320</v>
      </c>
      <c r="I128" s="23">
        <v>210</v>
      </c>
      <c r="J128" s="16">
        <f t="shared" si="3"/>
        <v>1600</v>
      </c>
      <c r="K128" s="16">
        <f t="shared" si="4"/>
        <v>1050</v>
      </c>
      <c r="L128" s="16">
        <f t="shared" si="5"/>
        <v>550</v>
      </c>
      <c r="M128" s="17">
        <f>IF(AND(J128&lt;&gt;0, K128&lt;&gt;0), Table1[[#This Row],[PROFIT MARGIN (eur)]]/K128, 0)</f>
        <v>0.52380952380952384</v>
      </c>
    </row>
    <row r="129" spans="1:13" x14ac:dyDescent="0.3">
      <c r="A129" s="18" t="s">
        <v>269</v>
      </c>
      <c r="B129" s="19">
        <v>46237</v>
      </c>
      <c r="C129" s="11" t="str">
        <f>_xlfn.XLOOKUP(D129, LISTA_PRODOTTI!$B$2:$B$13, LISTA_PRODOTTI!$A$2:$A$13)</f>
        <v>Arredo</v>
      </c>
      <c r="D129" s="20" t="s">
        <v>61</v>
      </c>
      <c r="E129" s="20" t="s">
        <v>47</v>
      </c>
      <c r="F129" s="20" t="s">
        <v>31</v>
      </c>
      <c r="G129" s="21">
        <v>25</v>
      </c>
      <c r="H129" s="22">
        <v>45</v>
      </c>
      <c r="I129" s="23">
        <v>20</v>
      </c>
      <c r="J129" s="16">
        <f t="shared" si="3"/>
        <v>1125</v>
      </c>
      <c r="K129" s="16">
        <f t="shared" si="4"/>
        <v>500</v>
      </c>
      <c r="L129" s="16">
        <f t="shared" si="5"/>
        <v>625</v>
      </c>
      <c r="M129" s="17">
        <f>IF(AND(J129&lt;&gt;0, K129&lt;&gt;0), Table1[[#This Row],[PROFIT MARGIN (eur)]]/K129, 0)</f>
        <v>1.25</v>
      </c>
    </row>
    <row r="130" spans="1:13" x14ac:dyDescent="0.3">
      <c r="A130" s="18" t="s">
        <v>270</v>
      </c>
      <c r="B130" s="19">
        <v>46223</v>
      </c>
      <c r="C130" s="11" t="str">
        <f>_xlfn.XLOOKUP(D130, LISTA_PRODOTTI!$B$2:$B$13, LISTA_PRODOTTI!$A$2:$A$13)</f>
        <v>Software</v>
      </c>
      <c r="D130" s="20" t="s">
        <v>46</v>
      </c>
      <c r="E130" s="20" t="s">
        <v>13</v>
      </c>
      <c r="F130" s="20" t="s">
        <v>31</v>
      </c>
      <c r="G130" s="21">
        <v>3</v>
      </c>
      <c r="H130" s="22">
        <v>450</v>
      </c>
      <c r="I130" s="23">
        <v>120</v>
      </c>
      <c r="J130" s="16">
        <f t="shared" si="3"/>
        <v>1350</v>
      </c>
      <c r="K130" s="16">
        <f t="shared" si="4"/>
        <v>360</v>
      </c>
      <c r="L130" s="16">
        <f t="shared" si="5"/>
        <v>990</v>
      </c>
      <c r="M130" s="17">
        <f>IF(AND(J130&lt;&gt;0, K130&lt;&gt;0), Table1[[#This Row],[PROFIT MARGIN (eur)]]/K130, 0)</f>
        <v>2.75</v>
      </c>
    </row>
    <row r="131" spans="1:13" x14ac:dyDescent="0.3">
      <c r="A131" s="18" t="s">
        <v>272</v>
      </c>
      <c r="B131" s="19">
        <v>46190</v>
      </c>
      <c r="C131" s="11" t="str">
        <f>_xlfn.XLOOKUP(D131, LISTA_PRODOTTI!$B$2:$B$13, LISTA_PRODOTTI!$A$2:$A$13)</f>
        <v>Elettronica</v>
      </c>
      <c r="D131" s="20" t="s">
        <v>108</v>
      </c>
      <c r="E131" s="20" t="s">
        <v>19</v>
      </c>
      <c r="F131" s="20" t="s">
        <v>24</v>
      </c>
      <c r="G131" s="21">
        <v>2</v>
      </c>
      <c r="H131" s="22">
        <v>120</v>
      </c>
      <c r="I131" s="23">
        <v>75</v>
      </c>
      <c r="J131" s="16">
        <f t="shared" ref="J131:J181" si="6">H131*G131</f>
        <v>240</v>
      </c>
      <c r="K131" s="16">
        <f t="shared" ref="K131:K181" si="7">I131*G131</f>
        <v>150</v>
      </c>
      <c r="L131" s="16">
        <f t="shared" ref="L131:L181" si="8">J131-K131</f>
        <v>90</v>
      </c>
      <c r="M131" s="17">
        <f>IF(AND(J131&lt;&gt;0, K131&lt;&gt;0), Table1[[#This Row],[PROFIT MARGIN (eur)]]/K131, 0)</f>
        <v>0.6</v>
      </c>
    </row>
    <row r="132" spans="1:13" x14ac:dyDescent="0.3">
      <c r="A132" s="18" t="s">
        <v>274</v>
      </c>
      <c r="B132" s="19">
        <v>46237</v>
      </c>
      <c r="C132" s="11" t="str">
        <f>_xlfn.XLOOKUP(D132, LISTA_PRODOTTI!$B$2:$B$13, LISTA_PRODOTTI!$A$2:$A$13)</f>
        <v>Software</v>
      </c>
      <c r="D132" s="20" t="s">
        <v>12</v>
      </c>
      <c r="E132" s="20" t="s">
        <v>47</v>
      </c>
      <c r="F132" s="20" t="s">
        <v>37</v>
      </c>
      <c r="G132" s="21">
        <v>25</v>
      </c>
      <c r="H132" s="22">
        <v>850</v>
      </c>
      <c r="I132" s="23">
        <v>200</v>
      </c>
      <c r="J132" s="16">
        <f t="shared" si="6"/>
        <v>21250</v>
      </c>
      <c r="K132" s="16">
        <f t="shared" si="7"/>
        <v>5000</v>
      </c>
      <c r="L132" s="16">
        <f t="shared" si="8"/>
        <v>16250</v>
      </c>
      <c r="M132" s="17">
        <f>IF(AND(J132&lt;&gt;0, K132&lt;&gt;0), Table1[[#This Row],[PROFIT MARGIN (eur)]]/K132, 0)</f>
        <v>3.25</v>
      </c>
    </row>
    <row r="133" spans="1:13" x14ac:dyDescent="0.3">
      <c r="A133" s="18" t="s">
        <v>275</v>
      </c>
      <c r="B133" s="19">
        <v>46261</v>
      </c>
      <c r="C133" s="11" t="str">
        <f>_xlfn.XLOOKUP(D133, LISTA_PRODOTTI!$B$2:$B$13, LISTA_PRODOTTI!$A$2:$A$13)</f>
        <v>Elettronica</v>
      </c>
      <c r="D133" s="20" t="s">
        <v>51</v>
      </c>
      <c r="E133" s="20" t="s">
        <v>19</v>
      </c>
      <c r="F133" s="20" t="s">
        <v>14</v>
      </c>
      <c r="G133" s="21">
        <v>33</v>
      </c>
      <c r="H133" s="22">
        <v>95</v>
      </c>
      <c r="I133" s="23">
        <v>40</v>
      </c>
      <c r="J133" s="16">
        <f t="shared" si="6"/>
        <v>3135</v>
      </c>
      <c r="K133" s="16">
        <f t="shared" si="7"/>
        <v>1320</v>
      </c>
      <c r="L133" s="16">
        <f t="shared" si="8"/>
        <v>1815</v>
      </c>
      <c r="M133" s="17">
        <f>IF(AND(J133&lt;&gt;0, K133&lt;&gt;0), Table1[[#This Row],[PROFIT MARGIN (eur)]]/K133, 0)</f>
        <v>1.375</v>
      </c>
    </row>
    <row r="134" spans="1:13" x14ac:dyDescent="0.3">
      <c r="A134" s="18" t="s">
        <v>276</v>
      </c>
      <c r="B134" s="19">
        <v>46250</v>
      </c>
      <c r="C134" s="11" t="str">
        <f>_xlfn.XLOOKUP(D134, LISTA_PRODOTTI!$B$2:$B$13, LISTA_PRODOTTI!$A$2:$A$13)</f>
        <v>Arredo</v>
      </c>
      <c r="D134" s="20" t="s">
        <v>61</v>
      </c>
      <c r="E134" s="20" t="s">
        <v>47</v>
      </c>
      <c r="F134" s="20" t="s">
        <v>360</v>
      </c>
      <c r="G134" s="21">
        <v>15</v>
      </c>
      <c r="H134" s="22">
        <v>45</v>
      </c>
      <c r="I134" s="23">
        <v>20</v>
      </c>
      <c r="J134" s="16">
        <f t="shared" si="6"/>
        <v>675</v>
      </c>
      <c r="K134" s="16">
        <f t="shared" si="7"/>
        <v>300</v>
      </c>
      <c r="L134" s="16">
        <f t="shared" si="8"/>
        <v>375</v>
      </c>
      <c r="M134" s="17">
        <f>IF(AND(J134&lt;&gt;0, K134&lt;&gt;0), Table1[[#This Row],[PROFIT MARGIN (eur)]]/K134, 0)</f>
        <v>1.25</v>
      </c>
    </row>
    <row r="135" spans="1:13" x14ac:dyDescent="0.3">
      <c r="A135" s="18" t="s">
        <v>278</v>
      </c>
      <c r="B135" s="19">
        <v>46234</v>
      </c>
      <c r="C135" s="11" t="str">
        <f>_xlfn.XLOOKUP(D135, LISTA_PRODOTTI!$B$2:$B$13, LISTA_PRODOTTI!$A$2:$A$13)</f>
        <v>Arredo</v>
      </c>
      <c r="D135" s="20" t="s">
        <v>29</v>
      </c>
      <c r="E135" s="20" t="s">
        <v>47</v>
      </c>
      <c r="F135" s="20" t="s">
        <v>62</v>
      </c>
      <c r="G135" s="21">
        <v>12</v>
      </c>
      <c r="H135" s="22">
        <v>250</v>
      </c>
      <c r="I135" s="23">
        <v>160</v>
      </c>
      <c r="J135" s="16">
        <f t="shared" si="6"/>
        <v>3000</v>
      </c>
      <c r="K135" s="16">
        <f t="shared" si="7"/>
        <v>1920</v>
      </c>
      <c r="L135" s="16">
        <f t="shared" si="8"/>
        <v>1080</v>
      </c>
      <c r="M135" s="17">
        <f>IF(AND(J135&lt;&gt;0, K135&lt;&gt;0), Table1[[#This Row],[PROFIT MARGIN (eur)]]/K135, 0)</f>
        <v>0.5625</v>
      </c>
    </row>
    <row r="136" spans="1:13" x14ac:dyDescent="0.3">
      <c r="A136" s="18" t="s">
        <v>280</v>
      </c>
      <c r="B136" s="19">
        <v>46300</v>
      </c>
      <c r="C136" s="11" t="str">
        <f>_xlfn.XLOOKUP(D136, LISTA_PRODOTTI!$B$2:$B$13, LISTA_PRODOTTI!$A$2:$A$13)</f>
        <v>Arredo</v>
      </c>
      <c r="D136" s="20" t="s">
        <v>34</v>
      </c>
      <c r="E136" s="20" t="s">
        <v>47</v>
      </c>
      <c r="F136" s="20" t="s">
        <v>40</v>
      </c>
      <c r="G136" s="21">
        <v>41</v>
      </c>
      <c r="H136" s="22">
        <v>162</v>
      </c>
      <c r="I136" s="23">
        <v>110</v>
      </c>
      <c r="J136" s="16">
        <f t="shared" si="6"/>
        <v>6642</v>
      </c>
      <c r="K136" s="16">
        <f t="shared" si="7"/>
        <v>4510</v>
      </c>
      <c r="L136" s="16">
        <f t="shared" si="8"/>
        <v>2132</v>
      </c>
      <c r="M136" s="17">
        <f>IF(AND(J136&lt;&gt;0, K136&lt;&gt;0), Table1[[#This Row],[PROFIT MARGIN (eur)]]/K136, 0)</f>
        <v>0.47272727272727272</v>
      </c>
    </row>
    <row r="137" spans="1:13" x14ac:dyDescent="0.3">
      <c r="A137" s="18" t="s">
        <v>282</v>
      </c>
      <c r="B137" s="19">
        <v>46260</v>
      </c>
      <c r="C137" s="11" t="str">
        <f>_xlfn.XLOOKUP(D137, LISTA_PRODOTTI!$B$2:$B$13, LISTA_PRODOTTI!$A$2:$A$13)</f>
        <v>Elettronica</v>
      </c>
      <c r="D137" s="20" t="s">
        <v>112</v>
      </c>
      <c r="E137" s="20" t="s">
        <v>47</v>
      </c>
      <c r="F137" s="20" t="s">
        <v>24</v>
      </c>
      <c r="G137" s="21">
        <v>36</v>
      </c>
      <c r="H137" s="22">
        <v>55.25</v>
      </c>
      <c r="I137" s="23">
        <v>28</v>
      </c>
      <c r="J137" s="16">
        <f t="shared" si="6"/>
        <v>1989</v>
      </c>
      <c r="K137" s="16">
        <f t="shared" si="7"/>
        <v>1008</v>
      </c>
      <c r="L137" s="16">
        <f t="shared" si="8"/>
        <v>981</v>
      </c>
      <c r="M137" s="17">
        <f>IF(AND(J137&lt;&gt;0, K137&lt;&gt;0), Table1[[#This Row],[PROFIT MARGIN (eur)]]/K137, 0)</f>
        <v>0.9732142857142857</v>
      </c>
    </row>
    <row r="138" spans="1:13" x14ac:dyDescent="0.3">
      <c r="A138" s="18" t="s">
        <v>284</v>
      </c>
      <c r="B138" s="19">
        <v>46224</v>
      </c>
      <c r="C138" s="11" t="str">
        <f>_xlfn.XLOOKUP(D138, LISTA_PRODOTTI!$B$2:$B$13, LISTA_PRODOTTI!$A$2:$A$13)</f>
        <v>Arredo</v>
      </c>
      <c r="D138" s="20" t="s">
        <v>34</v>
      </c>
      <c r="E138" s="20" t="s">
        <v>13</v>
      </c>
      <c r="F138" s="20" t="s">
        <v>62</v>
      </c>
      <c r="G138" s="21">
        <v>3</v>
      </c>
      <c r="H138" s="22">
        <v>162</v>
      </c>
      <c r="I138" s="23">
        <v>110</v>
      </c>
      <c r="J138" s="16">
        <f t="shared" si="6"/>
        <v>486</v>
      </c>
      <c r="K138" s="16">
        <f t="shared" si="7"/>
        <v>330</v>
      </c>
      <c r="L138" s="16">
        <f t="shared" si="8"/>
        <v>156</v>
      </c>
      <c r="M138" s="17">
        <f>IF(AND(J138&lt;&gt;0, K138&lt;&gt;0), Table1[[#This Row],[PROFIT MARGIN (eur)]]/K138, 0)</f>
        <v>0.47272727272727272</v>
      </c>
    </row>
    <row r="139" spans="1:13" x14ac:dyDescent="0.3">
      <c r="A139" s="18" t="s">
        <v>286</v>
      </c>
      <c r="B139" s="19">
        <v>46270</v>
      </c>
      <c r="C139" s="11" t="str">
        <f>_xlfn.XLOOKUP(D139, LISTA_PRODOTTI!$B$2:$B$13, LISTA_PRODOTTI!$A$2:$A$13)</f>
        <v>Elettronica</v>
      </c>
      <c r="D139" s="20" t="s">
        <v>112</v>
      </c>
      <c r="E139" s="20" t="s">
        <v>13</v>
      </c>
      <c r="F139" s="20" t="s">
        <v>31</v>
      </c>
      <c r="G139" s="21">
        <v>37</v>
      </c>
      <c r="H139" s="22">
        <v>58.5</v>
      </c>
      <c r="I139" s="23">
        <v>28</v>
      </c>
      <c r="J139" s="16">
        <f t="shared" si="6"/>
        <v>2164.5</v>
      </c>
      <c r="K139" s="16">
        <f t="shared" si="7"/>
        <v>1036</v>
      </c>
      <c r="L139" s="16">
        <f t="shared" si="8"/>
        <v>1128.5</v>
      </c>
      <c r="M139" s="17">
        <f>IF(AND(J139&lt;&gt;0, K139&lt;&gt;0), Table1[[#This Row],[PROFIT MARGIN (eur)]]/K139, 0)</f>
        <v>1.0892857142857142</v>
      </c>
    </row>
    <row r="140" spans="1:13" x14ac:dyDescent="0.3">
      <c r="A140" s="18" t="s">
        <v>288</v>
      </c>
      <c r="B140" s="19">
        <v>46223</v>
      </c>
      <c r="C140" s="11" t="str">
        <f>_xlfn.XLOOKUP(D140, LISTA_PRODOTTI!$B$2:$B$13, LISTA_PRODOTTI!$A$2:$A$13)</f>
        <v>Elettronica</v>
      </c>
      <c r="D140" s="20" t="s">
        <v>51</v>
      </c>
      <c r="E140" s="20" t="s">
        <v>19</v>
      </c>
      <c r="F140" s="20" t="s">
        <v>31</v>
      </c>
      <c r="G140" s="21">
        <v>2</v>
      </c>
      <c r="H140" s="22">
        <v>95</v>
      </c>
      <c r="I140" s="23">
        <v>40</v>
      </c>
      <c r="J140" s="16">
        <f t="shared" si="6"/>
        <v>190</v>
      </c>
      <c r="K140" s="16">
        <f t="shared" si="7"/>
        <v>80</v>
      </c>
      <c r="L140" s="16">
        <f t="shared" si="8"/>
        <v>110</v>
      </c>
      <c r="M140" s="17">
        <f>IF(AND(J140&lt;&gt;0, K140&lt;&gt;0), Table1[[#This Row],[PROFIT MARGIN (eur)]]/K140, 0)</f>
        <v>1.375</v>
      </c>
    </row>
    <row r="141" spans="1:13" x14ac:dyDescent="0.3">
      <c r="A141" s="18" t="s">
        <v>289</v>
      </c>
      <c r="B141" s="19">
        <v>46298</v>
      </c>
      <c r="C141" s="11" t="str">
        <f>_xlfn.XLOOKUP(D141, LISTA_PRODOTTI!$B$2:$B$13, LISTA_PRODOTTI!$A$2:$A$13)</f>
        <v>Elettronica</v>
      </c>
      <c r="D141" s="20" t="s">
        <v>71</v>
      </c>
      <c r="E141" s="20" t="s">
        <v>47</v>
      </c>
      <c r="F141" s="20" t="s">
        <v>62</v>
      </c>
      <c r="G141" s="21">
        <v>35</v>
      </c>
      <c r="H141" s="22">
        <v>85</v>
      </c>
      <c r="I141" s="23">
        <v>45</v>
      </c>
      <c r="J141" s="16">
        <f t="shared" si="6"/>
        <v>2975</v>
      </c>
      <c r="K141" s="16">
        <f t="shared" si="7"/>
        <v>1575</v>
      </c>
      <c r="L141" s="16">
        <f t="shared" si="8"/>
        <v>1400</v>
      </c>
      <c r="M141" s="17">
        <f>IF(AND(J141&lt;&gt;0, K141&lt;&gt;0), Table1[[#This Row],[PROFIT MARGIN (eur)]]/K141, 0)</f>
        <v>0.88888888888888884</v>
      </c>
    </row>
    <row r="142" spans="1:13" x14ac:dyDescent="0.3">
      <c r="A142" s="18" t="s">
        <v>291</v>
      </c>
      <c r="B142" s="19">
        <v>46187</v>
      </c>
      <c r="C142" s="11" t="str">
        <f>_xlfn.XLOOKUP(D142, LISTA_PRODOTTI!$B$2:$B$13, LISTA_PRODOTTI!$A$2:$A$13)</f>
        <v>Software</v>
      </c>
      <c r="D142" s="20" t="s">
        <v>46</v>
      </c>
      <c r="E142" s="20" t="s">
        <v>13</v>
      </c>
      <c r="F142" s="20" t="s">
        <v>62</v>
      </c>
      <c r="G142" s="21">
        <v>14</v>
      </c>
      <c r="H142" s="22">
        <v>500</v>
      </c>
      <c r="I142" s="23">
        <v>120</v>
      </c>
      <c r="J142" s="16">
        <f t="shared" si="6"/>
        <v>7000</v>
      </c>
      <c r="K142" s="16">
        <f t="shared" si="7"/>
        <v>1680</v>
      </c>
      <c r="L142" s="16">
        <f t="shared" si="8"/>
        <v>5320</v>
      </c>
      <c r="M142" s="17">
        <f>IF(AND(J142&lt;&gt;0, K142&lt;&gt;0), Table1[[#This Row],[PROFIT MARGIN (eur)]]/K142, 0)</f>
        <v>3.1666666666666665</v>
      </c>
    </row>
    <row r="143" spans="1:13" x14ac:dyDescent="0.3">
      <c r="A143" s="18" t="s">
        <v>292</v>
      </c>
      <c r="B143" s="19">
        <v>46262</v>
      </c>
      <c r="C143" s="11" t="str">
        <f>_xlfn.XLOOKUP(D143, LISTA_PRODOTTI!$B$2:$B$13, LISTA_PRODOTTI!$A$2:$A$13)</f>
        <v>Arredo</v>
      </c>
      <c r="D143" s="20" t="s">
        <v>61</v>
      </c>
      <c r="E143" s="20" t="s">
        <v>47</v>
      </c>
      <c r="F143" s="20" t="s">
        <v>62</v>
      </c>
      <c r="G143" s="21">
        <v>40</v>
      </c>
      <c r="H143" s="22">
        <v>40.5</v>
      </c>
      <c r="I143" s="23">
        <v>20</v>
      </c>
      <c r="J143" s="16">
        <f t="shared" si="6"/>
        <v>1620</v>
      </c>
      <c r="K143" s="16">
        <f t="shared" si="7"/>
        <v>800</v>
      </c>
      <c r="L143" s="16">
        <f t="shared" si="8"/>
        <v>820</v>
      </c>
      <c r="M143" s="17">
        <f>IF(AND(J143&lt;&gt;0, K143&lt;&gt;0), Table1[[#This Row],[PROFIT MARGIN (eur)]]/K143, 0)</f>
        <v>1.0249999999999999</v>
      </c>
    </row>
    <row r="144" spans="1:13" x14ac:dyDescent="0.3">
      <c r="A144" s="18" t="s">
        <v>294</v>
      </c>
      <c r="B144" s="19">
        <v>46312</v>
      </c>
      <c r="C144" s="11" t="str">
        <f>_xlfn.XLOOKUP(D144, LISTA_PRODOTTI!$B$2:$B$13, LISTA_PRODOTTI!$A$2:$A$13)</f>
        <v>Arredo</v>
      </c>
      <c r="D144" s="20" t="s">
        <v>34</v>
      </c>
      <c r="E144" s="20" t="s">
        <v>13</v>
      </c>
      <c r="F144" s="20" t="s">
        <v>14</v>
      </c>
      <c r="G144" s="21">
        <v>12</v>
      </c>
      <c r="H144" s="22">
        <v>171</v>
      </c>
      <c r="I144" s="23">
        <v>110</v>
      </c>
      <c r="J144" s="16">
        <f t="shared" si="6"/>
        <v>2052</v>
      </c>
      <c r="K144" s="16">
        <f t="shared" si="7"/>
        <v>1320</v>
      </c>
      <c r="L144" s="16">
        <f t="shared" si="8"/>
        <v>732</v>
      </c>
      <c r="M144" s="17">
        <f>IF(AND(J144&lt;&gt;0, K144&lt;&gt;0), Table1[[#This Row],[PROFIT MARGIN (eur)]]/K144, 0)</f>
        <v>0.55454545454545456</v>
      </c>
    </row>
    <row r="145" spans="1:13" x14ac:dyDescent="0.3">
      <c r="A145" s="18" t="s">
        <v>296</v>
      </c>
      <c r="B145" s="19">
        <v>46174</v>
      </c>
      <c r="C145" s="11" t="str">
        <f>_xlfn.XLOOKUP(D145, LISTA_PRODOTTI!$B$2:$B$13, LISTA_PRODOTTI!$A$2:$A$13)</f>
        <v>Arredo</v>
      </c>
      <c r="D145" s="20" t="s">
        <v>18</v>
      </c>
      <c r="E145" s="20" t="s">
        <v>47</v>
      </c>
      <c r="F145" s="20" t="s">
        <v>37</v>
      </c>
      <c r="G145" s="21">
        <v>37</v>
      </c>
      <c r="H145" s="22">
        <v>63</v>
      </c>
      <c r="I145" s="23">
        <v>32</v>
      </c>
      <c r="J145" s="16">
        <f t="shared" si="6"/>
        <v>2331</v>
      </c>
      <c r="K145" s="16">
        <f t="shared" si="7"/>
        <v>1184</v>
      </c>
      <c r="L145" s="16">
        <f t="shared" si="8"/>
        <v>1147</v>
      </c>
      <c r="M145" s="17">
        <f>IF(AND(J145&lt;&gt;0, K145&lt;&gt;0), Table1[[#This Row],[PROFIT MARGIN (eur)]]/K145, 0)</f>
        <v>0.96875</v>
      </c>
    </row>
    <row r="146" spans="1:13" x14ac:dyDescent="0.3">
      <c r="A146" s="18" t="s">
        <v>298</v>
      </c>
      <c r="B146" s="19">
        <v>46284</v>
      </c>
      <c r="C146" s="11" t="str">
        <f>_xlfn.XLOOKUP(D146, LISTA_PRODOTTI!$B$2:$B$13, LISTA_PRODOTTI!$A$2:$A$13)</f>
        <v>Software</v>
      </c>
      <c r="D146" s="20" t="s">
        <v>46</v>
      </c>
      <c r="E146" s="20" t="s">
        <v>19</v>
      </c>
      <c r="F146" s="20" t="s">
        <v>14</v>
      </c>
      <c r="G146" s="21">
        <v>9</v>
      </c>
      <c r="H146" s="22">
        <v>425</v>
      </c>
      <c r="I146" s="23">
        <v>120</v>
      </c>
      <c r="J146" s="16">
        <f t="shared" si="6"/>
        <v>3825</v>
      </c>
      <c r="K146" s="16">
        <f t="shared" si="7"/>
        <v>1080</v>
      </c>
      <c r="L146" s="16">
        <f t="shared" si="8"/>
        <v>2745</v>
      </c>
      <c r="M146" s="17">
        <f>IF(AND(J146&lt;&gt;0, K146&lt;&gt;0), Table1[[#This Row],[PROFIT MARGIN (eur)]]/K146, 0)</f>
        <v>2.5416666666666665</v>
      </c>
    </row>
    <row r="147" spans="1:13" x14ac:dyDescent="0.3">
      <c r="A147" s="18" t="s">
        <v>299</v>
      </c>
      <c r="B147" s="19">
        <v>46232</v>
      </c>
      <c r="C147" s="11" t="str">
        <f>_xlfn.XLOOKUP(D147, LISTA_PRODOTTI!$B$2:$B$13, LISTA_PRODOTTI!$A$2:$A$13)</f>
        <v>Elettronica</v>
      </c>
      <c r="D147" s="20" t="s">
        <v>58</v>
      </c>
      <c r="E147" s="20" t="s">
        <v>19</v>
      </c>
      <c r="F147" s="20" t="s">
        <v>360</v>
      </c>
      <c r="G147" s="21">
        <v>24</v>
      </c>
      <c r="H147" s="22">
        <v>320</v>
      </c>
      <c r="I147" s="23">
        <v>210</v>
      </c>
      <c r="J147" s="16">
        <f t="shared" si="6"/>
        <v>7680</v>
      </c>
      <c r="K147" s="16">
        <f t="shared" si="7"/>
        <v>5040</v>
      </c>
      <c r="L147" s="16">
        <f t="shared" si="8"/>
        <v>2640</v>
      </c>
      <c r="M147" s="17">
        <f>IF(AND(J147&lt;&gt;0, K147&lt;&gt;0), Table1[[#This Row],[PROFIT MARGIN (eur)]]/K147, 0)</f>
        <v>0.52380952380952384</v>
      </c>
    </row>
    <row r="148" spans="1:13" x14ac:dyDescent="0.3">
      <c r="A148" s="18" t="s">
        <v>300</v>
      </c>
      <c r="B148" s="19">
        <v>46212</v>
      </c>
      <c r="C148" s="11" t="str">
        <f>_xlfn.XLOOKUP(D148, LISTA_PRODOTTI!$B$2:$B$13, LISTA_PRODOTTI!$A$2:$A$13)</f>
        <v>Software</v>
      </c>
      <c r="D148" s="20" t="s">
        <v>12</v>
      </c>
      <c r="E148" s="20" t="s">
        <v>30</v>
      </c>
      <c r="F148" s="20" t="s">
        <v>24</v>
      </c>
      <c r="G148" s="21">
        <v>20</v>
      </c>
      <c r="H148" s="22">
        <v>807.5</v>
      </c>
      <c r="I148" s="23">
        <v>200</v>
      </c>
      <c r="J148" s="16">
        <f t="shared" si="6"/>
        <v>16150</v>
      </c>
      <c r="K148" s="16">
        <f t="shared" si="7"/>
        <v>4000</v>
      </c>
      <c r="L148" s="16">
        <f t="shared" si="8"/>
        <v>12150</v>
      </c>
      <c r="M148" s="17">
        <f>IF(AND(J148&lt;&gt;0, K148&lt;&gt;0), Table1[[#This Row],[PROFIT MARGIN (eur)]]/K148, 0)</f>
        <v>3.0375000000000001</v>
      </c>
    </row>
    <row r="149" spans="1:13" x14ac:dyDescent="0.3">
      <c r="A149" s="18" t="s">
        <v>301</v>
      </c>
      <c r="B149" s="19">
        <v>46292</v>
      </c>
      <c r="C149" s="11" t="str">
        <f>_xlfn.XLOOKUP(D149, LISTA_PRODOTTI!$B$2:$B$13, LISTA_PRODOTTI!$A$2:$A$13)</f>
        <v>Elettronica</v>
      </c>
      <c r="D149" s="20" t="s">
        <v>108</v>
      </c>
      <c r="E149" s="20" t="s">
        <v>13</v>
      </c>
      <c r="F149" s="20" t="s">
        <v>24</v>
      </c>
      <c r="G149" s="21">
        <v>5</v>
      </c>
      <c r="H149" s="22">
        <v>114</v>
      </c>
      <c r="I149" s="23">
        <v>75</v>
      </c>
      <c r="J149" s="16">
        <f t="shared" si="6"/>
        <v>570</v>
      </c>
      <c r="K149" s="16">
        <f t="shared" si="7"/>
        <v>375</v>
      </c>
      <c r="L149" s="16">
        <f t="shared" si="8"/>
        <v>195</v>
      </c>
      <c r="M149" s="17">
        <f>IF(AND(J149&lt;&gt;0, K149&lt;&gt;0), Table1[[#This Row],[PROFIT MARGIN (eur)]]/K149, 0)</f>
        <v>0.52</v>
      </c>
    </row>
    <row r="150" spans="1:13" x14ac:dyDescent="0.3">
      <c r="A150" s="18" t="s">
        <v>303</v>
      </c>
      <c r="B150" s="19">
        <v>46287</v>
      </c>
      <c r="C150" s="11" t="str">
        <f>_xlfn.XLOOKUP(D150, LISTA_PRODOTTI!$B$2:$B$13, LISTA_PRODOTTI!$A$2:$A$13)</f>
        <v>Arredo</v>
      </c>
      <c r="D150" s="20" t="s">
        <v>18</v>
      </c>
      <c r="E150" s="20" t="s">
        <v>13</v>
      </c>
      <c r="F150" s="20" t="s">
        <v>31</v>
      </c>
      <c r="G150" s="21">
        <v>27</v>
      </c>
      <c r="H150" s="22">
        <v>70</v>
      </c>
      <c r="I150" s="23">
        <v>32</v>
      </c>
      <c r="J150" s="16">
        <f t="shared" si="6"/>
        <v>1890</v>
      </c>
      <c r="K150" s="16">
        <f t="shared" si="7"/>
        <v>864</v>
      </c>
      <c r="L150" s="16">
        <f t="shared" si="8"/>
        <v>1026</v>
      </c>
      <c r="M150" s="17">
        <f>IF(AND(J150&lt;&gt;0, K150&lt;&gt;0), Table1[[#This Row],[PROFIT MARGIN (eur)]]/K150, 0)</f>
        <v>1.1875</v>
      </c>
    </row>
    <row r="151" spans="1:13" x14ac:dyDescent="0.3">
      <c r="A151" s="18" t="s">
        <v>305</v>
      </c>
      <c r="B151" s="19">
        <v>46315</v>
      </c>
      <c r="C151" s="11" t="str">
        <f>_xlfn.XLOOKUP(D151, LISTA_PRODOTTI!$B$2:$B$13, LISTA_PRODOTTI!$A$2:$A$13)</f>
        <v>Elettronica</v>
      </c>
      <c r="D151" s="20" t="s">
        <v>108</v>
      </c>
      <c r="E151" s="20" t="s">
        <v>30</v>
      </c>
      <c r="F151" s="20" t="s">
        <v>14</v>
      </c>
      <c r="G151" s="21">
        <v>6</v>
      </c>
      <c r="H151" s="22">
        <v>120</v>
      </c>
      <c r="I151" s="23">
        <v>75</v>
      </c>
      <c r="J151" s="16">
        <f t="shared" si="6"/>
        <v>720</v>
      </c>
      <c r="K151" s="16">
        <f t="shared" si="7"/>
        <v>450</v>
      </c>
      <c r="L151" s="16">
        <f t="shared" si="8"/>
        <v>270</v>
      </c>
      <c r="M151" s="17">
        <f>IF(AND(J151&lt;&gt;0, K151&lt;&gt;0), Table1[[#This Row],[PROFIT MARGIN (eur)]]/K151, 0)</f>
        <v>0.6</v>
      </c>
    </row>
    <row r="152" spans="1:13" x14ac:dyDescent="0.3">
      <c r="A152" s="18" t="s">
        <v>308</v>
      </c>
      <c r="B152" s="19">
        <v>46250</v>
      </c>
      <c r="C152" s="11" t="str">
        <f>_xlfn.XLOOKUP(D152, LISTA_PRODOTTI!$B$2:$B$13, LISTA_PRODOTTI!$A$2:$A$13)</f>
        <v>Software</v>
      </c>
      <c r="D152" s="20" t="s">
        <v>22</v>
      </c>
      <c r="E152" s="20" t="s">
        <v>19</v>
      </c>
      <c r="F152" s="20" t="s">
        <v>31</v>
      </c>
      <c r="G152" s="21">
        <v>38</v>
      </c>
      <c r="H152" s="22">
        <v>60</v>
      </c>
      <c r="I152" s="23">
        <v>15</v>
      </c>
      <c r="J152" s="16">
        <f t="shared" si="6"/>
        <v>2280</v>
      </c>
      <c r="K152" s="16">
        <f t="shared" si="7"/>
        <v>570</v>
      </c>
      <c r="L152" s="16">
        <f t="shared" si="8"/>
        <v>1710</v>
      </c>
      <c r="M152" s="17">
        <f>IF(AND(J152&lt;&gt;0, K152&lt;&gt;0), Table1[[#This Row],[PROFIT MARGIN (eur)]]/K152, 0)</f>
        <v>3</v>
      </c>
    </row>
    <row r="153" spans="1:13" x14ac:dyDescent="0.3">
      <c r="A153" s="18" t="s">
        <v>310</v>
      </c>
      <c r="B153" s="19">
        <v>46256</v>
      </c>
      <c r="C153" s="11" t="str">
        <f>_xlfn.XLOOKUP(D153, LISTA_PRODOTTI!$B$2:$B$13, LISTA_PRODOTTI!$A$2:$A$13)</f>
        <v>Elettronica</v>
      </c>
      <c r="D153" s="20" t="s">
        <v>108</v>
      </c>
      <c r="E153" s="20" t="s">
        <v>13</v>
      </c>
      <c r="F153" s="20" t="s">
        <v>31</v>
      </c>
      <c r="G153" s="21">
        <v>7</v>
      </c>
      <c r="H153" s="22">
        <v>102</v>
      </c>
      <c r="I153" s="23">
        <v>75</v>
      </c>
      <c r="J153" s="16">
        <f t="shared" si="6"/>
        <v>714</v>
      </c>
      <c r="K153" s="16">
        <f t="shared" si="7"/>
        <v>525</v>
      </c>
      <c r="L153" s="16">
        <f t="shared" si="8"/>
        <v>189</v>
      </c>
      <c r="M153" s="17">
        <f>IF(AND(J153&lt;&gt;0, K153&lt;&gt;0), Table1[[#This Row],[PROFIT MARGIN (eur)]]/K153, 0)</f>
        <v>0.36</v>
      </c>
    </row>
    <row r="154" spans="1:13" x14ac:dyDescent="0.3">
      <c r="A154" s="18" t="s">
        <v>312</v>
      </c>
      <c r="B154" s="19">
        <v>46208</v>
      </c>
      <c r="C154" s="11" t="str">
        <f>_xlfn.XLOOKUP(D154, LISTA_PRODOTTI!$B$2:$B$13, LISTA_PRODOTTI!$A$2:$A$13)</f>
        <v>Arredo</v>
      </c>
      <c r="D154" s="20" t="s">
        <v>61</v>
      </c>
      <c r="E154" s="20" t="s">
        <v>19</v>
      </c>
      <c r="F154" s="20" t="s">
        <v>24</v>
      </c>
      <c r="G154" s="21">
        <v>10</v>
      </c>
      <c r="H154" s="22">
        <v>45</v>
      </c>
      <c r="I154" s="23">
        <v>20</v>
      </c>
      <c r="J154" s="16">
        <f t="shared" si="6"/>
        <v>450</v>
      </c>
      <c r="K154" s="16">
        <f t="shared" si="7"/>
        <v>200</v>
      </c>
      <c r="L154" s="16">
        <f t="shared" si="8"/>
        <v>250</v>
      </c>
      <c r="M154" s="17">
        <f>IF(AND(J154&lt;&gt;0, K154&lt;&gt;0), Table1[[#This Row],[PROFIT MARGIN (eur)]]/K154, 0)</f>
        <v>1.25</v>
      </c>
    </row>
    <row r="155" spans="1:13" x14ac:dyDescent="0.3">
      <c r="A155" s="18" t="s">
        <v>314</v>
      </c>
      <c r="B155" s="19">
        <v>46221</v>
      </c>
      <c r="C155" s="11" t="str">
        <f>_xlfn.XLOOKUP(D155, LISTA_PRODOTTI!$B$2:$B$13, LISTA_PRODOTTI!$A$2:$A$13)</f>
        <v>Elettronica</v>
      </c>
      <c r="D155" s="20" t="s">
        <v>112</v>
      </c>
      <c r="E155" s="20" t="s">
        <v>30</v>
      </c>
      <c r="F155" s="20" t="s">
        <v>37</v>
      </c>
      <c r="G155" s="21">
        <v>34</v>
      </c>
      <c r="H155" s="22">
        <v>55.25</v>
      </c>
      <c r="I155" s="23">
        <v>28</v>
      </c>
      <c r="J155" s="16">
        <f t="shared" si="6"/>
        <v>1878.5</v>
      </c>
      <c r="K155" s="16">
        <f t="shared" si="7"/>
        <v>952</v>
      </c>
      <c r="L155" s="16">
        <f t="shared" si="8"/>
        <v>926.5</v>
      </c>
      <c r="M155" s="17">
        <f>IF(AND(J155&lt;&gt;0, K155&lt;&gt;0), Table1[[#This Row],[PROFIT MARGIN (eur)]]/K155, 0)</f>
        <v>0.9732142857142857</v>
      </c>
    </row>
    <row r="156" spans="1:13" x14ac:dyDescent="0.3">
      <c r="A156" s="18" t="s">
        <v>316</v>
      </c>
      <c r="B156" s="19">
        <v>46260</v>
      </c>
      <c r="C156" s="11" t="str">
        <f>_xlfn.XLOOKUP(D156, LISTA_PRODOTTI!$B$2:$B$13, LISTA_PRODOTTI!$A$2:$A$13)</f>
        <v>Arredo</v>
      </c>
      <c r="D156" s="20" t="s">
        <v>18</v>
      </c>
      <c r="E156" s="20" t="s">
        <v>13</v>
      </c>
      <c r="F156" s="20" t="s">
        <v>360</v>
      </c>
      <c r="G156" s="21">
        <v>23</v>
      </c>
      <c r="H156" s="22">
        <v>70</v>
      </c>
      <c r="I156" s="23">
        <v>32</v>
      </c>
      <c r="J156" s="16">
        <f t="shared" si="6"/>
        <v>1610</v>
      </c>
      <c r="K156" s="16">
        <f t="shared" si="7"/>
        <v>736</v>
      </c>
      <c r="L156" s="16">
        <f t="shared" si="8"/>
        <v>874</v>
      </c>
      <c r="M156" s="17">
        <f>IF(AND(J156&lt;&gt;0, K156&lt;&gt;0), Table1[[#This Row],[PROFIT MARGIN (eur)]]/K156, 0)</f>
        <v>1.1875</v>
      </c>
    </row>
    <row r="157" spans="1:13" x14ac:dyDescent="0.3">
      <c r="A157" s="18" t="s">
        <v>317</v>
      </c>
      <c r="B157" s="19">
        <v>46198</v>
      </c>
      <c r="C157" s="11" t="str">
        <f>_xlfn.XLOOKUP(D157, LISTA_PRODOTTI!$B$2:$B$13, LISTA_PRODOTTI!$A$2:$A$13)</f>
        <v>Software</v>
      </c>
      <c r="D157" s="20" t="s">
        <v>12</v>
      </c>
      <c r="E157" s="20" t="s">
        <v>13</v>
      </c>
      <c r="F157" s="20" t="s">
        <v>24</v>
      </c>
      <c r="G157" s="21">
        <v>19</v>
      </c>
      <c r="H157" s="22">
        <v>850</v>
      </c>
      <c r="I157" s="23">
        <v>200</v>
      </c>
      <c r="J157" s="16">
        <f t="shared" si="6"/>
        <v>16150</v>
      </c>
      <c r="K157" s="16">
        <f t="shared" si="7"/>
        <v>3800</v>
      </c>
      <c r="L157" s="16">
        <f t="shared" si="8"/>
        <v>12350</v>
      </c>
      <c r="M157" s="17">
        <f>IF(AND(J157&lt;&gt;0, K157&lt;&gt;0), Table1[[#This Row],[PROFIT MARGIN (eur)]]/K157, 0)</f>
        <v>3.25</v>
      </c>
    </row>
    <row r="158" spans="1:13" x14ac:dyDescent="0.3">
      <c r="A158" s="18" t="s">
        <v>319</v>
      </c>
      <c r="B158" s="19">
        <v>46200</v>
      </c>
      <c r="C158" s="11" t="str">
        <f>_xlfn.XLOOKUP(D158, LISTA_PRODOTTI!$B$2:$B$13, LISTA_PRODOTTI!$A$2:$A$13)</f>
        <v>Software</v>
      </c>
      <c r="D158" s="20" t="s">
        <v>22</v>
      </c>
      <c r="E158" s="20" t="s">
        <v>19</v>
      </c>
      <c r="F158" s="20" t="s">
        <v>14</v>
      </c>
      <c r="G158" s="21">
        <v>13</v>
      </c>
      <c r="H158" s="22">
        <v>54</v>
      </c>
      <c r="I158" s="23">
        <v>15</v>
      </c>
      <c r="J158" s="16">
        <f t="shared" si="6"/>
        <v>702</v>
      </c>
      <c r="K158" s="16">
        <f t="shared" si="7"/>
        <v>195</v>
      </c>
      <c r="L158" s="16">
        <f t="shared" si="8"/>
        <v>507</v>
      </c>
      <c r="M158" s="17">
        <f>IF(AND(J158&lt;&gt;0, K158&lt;&gt;0), Table1[[#This Row],[PROFIT MARGIN (eur)]]/K158, 0)</f>
        <v>2.6</v>
      </c>
    </row>
    <row r="159" spans="1:13" x14ac:dyDescent="0.3">
      <c r="A159" s="18" t="s">
        <v>321</v>
      </c>
      <c r="B159" s="19">
        <v>46281</v>
      </c>
      <c r="C159" s="11" t="str">
        <f>_xlfn.XLOOKUP(D159, LISTA_PRODOTTI!$B$2:$B$13, LISTA_PRODOTTI!$A$2:$A$13)</f>
        <v>Elettronica</v>
      </c>
      <c r="D159" s="20" t="s">
        <v>108</v>
      </c>
      <c r="E159" s="20" t="s">
        <v>19</v>
      </c>
      <c r="F159" s="20" t="s">
        <v>31</v>
      </c>
      <c r="G159" s="21">
        <v>20</v>
      </c>
      <c r="H159" s="22">
        <v>108</v>
      </c>
      <c r="I159" s="23">
        <v>75</v>
      </c>
      <c r="J159" s="16">
        <f t="shared" si="6"/>
        <v>2160</v>
      </c>
      <c r="K159" s="16">
        <f t="shared" si="7"/>
        <v>1500</v>
      </c>
      <c r="L159" s="16">
        <f t="shared" si="8"/>
        <v>660</v>
      </c>
      <c r="M159" s="17">
        <f>IF(AND(J159&lt;&gt;0, K159&lt;&gt;0), Table1[[#This Row],[PROFIT MARGIN (eur)]]/K159, 0)</f>
        <v>0.44</v>
      </c>
    </row>
    <row r="160" spans="1:13" x14ac:dyDescent="0.3">
      <c r="A160" s="18" t="s">
        <v>323</v>
      </c>
      <c r="B160" s="19">
        <v>46279</v>
      </c>
      <c r="C160" s="11" t="str">
        <f>_xlfn.XLOOKUP(D160, LISTA_PRODOTTI!$B$2:$B$13, LISTA_PRODOTTI!$A$2:$A$13)</f>
        <v>Elettronica</v>
      </c>
      <c r="D160" s="20" t="s">
        <v>112</v>
      </c>
      <c r="E160" s="20" t="s">
        <v>13</v>
      </c>
      <c r="F160" s="20" t="s">
        <v>14</v>
      </c>
      <c r="G160" s="21">
        <v>9</v>
      </c>
      <c r="H160" s="22">
        <v>65</v>
      </c>
      <c r="I160" s="23">
        <v>28</v>
      </c>
      <c r="J160" s="16">
        <f t="shared" si="6"/>
        <v>585</v>
      </c>
      <c r="K160" s="16">
        <f t="shared" si="7"/>
        <v>252</v>
      </c>
      <c r="L160" s="16">
        <f t="shared" si="8"/>
        <v>333</v>
      </c>
      <c r="M160" s="17">
        <f>IF(AND(J160&lt;&gt;0, K160&lt;&gt;0), Table1[[#This Row],[PROFIT MARGIN (eur)]]/K160, 0)</f>
        <v>1.3214285714285714</v>
      </c>
    </row>
    <row r="161" spans="1:13" x14ac:dyDescent="0.3">
      <c r="A161" s="18" t="s">
        <v>325</v>
      </c>
      <c r="B161" s="19">
        <v>46222</v>
      </c>
      <c r="C161" s="11" t="str">
        <f>_xlfn.XLOOKUP(D161, LISTA_PRODOTTI!$B$2:$B$13, LISTA_PRODOTTI!$A$2:$A$13)</f>
        <v>Elettronica</v>
      </c>
      <c r="D161" s="20" t="s">
        <v>51</v>
      </c>
      <c r="E161" s="20" t="s">
        <v>47</v>
      </c>
      <c r="F161" s="20" t="s">
        <v>31</v>
      </c>
      <c r="G161" s="21">
        <v>39</v>
      </c>
      <c r="H161" s="22">
        <v>95</v>
      </c>
      <c r="I161" s="23">
        <v>40</v>
      </c>
      <c r="J161" s="16">
        <f t="shared" si="6"/>
        <v>3705</v>
      </c>
      <c r="K161" s="16">
        <f t="shared" si="7"/>
        <v>1560</v>
      </c>
      <c r="L161" s="16">
        <f t="shared" si="8"/>
        <v>2145</v>
      </c>
      <c r="M161" s="17">
        <f>IF(AND(J161&lt;&gt;0, K161&lt;&gt;0), Table1[[#This Row],[PROFIT MARGIN (eur)]]/K161, 0)</f>
        <v>1.375</v>
      </c>
    </row>
    <row r="162" spans="1:13" x14ac:dyDescent="0.3">
      <c r="A162" s="18" t="s">
        <v>327</v>
      </c>
      <c r="B162" s="19">
        <v>46242</v>
      </c>
      <c r="C162" s="11" t="str">
        <f>_xlfn.XLOOKUP(D162, LISTA_PRODOTTI!$B$2:$B$13, LISTA_PRODOTTI!$A$2:$A$13)</f>
        <v>Software</v>
      </c>
      <c r="D162" s="20" t="s">
        <v>22</v>
      </c>
      <c r="E162" s="20" t="s">
        <v>13</v>
      </c>
      <c r="F162" s="20" t="s">
        <v>62</v>
      </c>
      <c r="G162" s="21">
        <v>22</v>
      </c>
      <c r="H162" s="22">
        <v>51</v>
      </c>
      <c r="I162" s="23">
        <v>15</v>
      </c>
      <c r="J162" s="16">
        <f t="shared" si="6"/>
        <v>1122</v>
      </c>
      <c r="K162" s="16">
        <f t="shared" si="7"/>
        <v>330</v>
      </c>
      <c r="L162" s="16">
        <f t="shared" si="8"/>
        <v>792</v>
      </c>
      <c r="M162" s="17">
        <f>IF(AND(J162&lt;&gt;0, K162&lt;&gt;0), Table1[[#This Row],[PROFIT MARGIN (eur)]]/K162, 0)</f>
        <v>2.4</v>
      </c>
    </row>
    <row r="163" spans="1:13" x14ac:dyDescent="0.3">
      <c r="A163" s="18" t="s">
        <v>329</v>
      </c>
      <c r="B163" s="19">
        <v>46311</v>
      </c>
      <c r="C163" s="11" t="str">
        <f>_xlfn.XLOOKUP(D163, LISTA_PRODOTTI!$B$2:$B$13, LISTA_PRODOTTI!$A$2:$A$13)</f>
        <v>Elettronica</v>
      </c>
      <c r="D163" s="20" t="s">
        <v>112</v>
      </c>
      <c r="E163" s="20" t="s">
        <v>13</v>
      </c>
      <c r="F163" s="20" t="s">
        <v>14</v>
      </c>
      <c r="G163" s="21">
        <v>35</v>
      </c>
      <c r="H163" s="22">
        <v>55.25</v>
      </c>
      <c r="I163" s="23">
        <v>28</v>
      </c>
      <c r="J163" s="16">
        <f t="shared" si="6"/>
        <v>1933.75</v>
      </c>
      <c r="K163" s="16">
        <f t="shared" si="7"/>
        <v>980</v>
      </c>
      <c r="L163" s="16">
        <f t="shared" si="8"/>
        <v>953.75</v>
      </c>
      <c r="M163" s="17">
        <f>IF(AND(J163&lt;&gt;0, K163&lt;&gt;0), Table1[[#This Row],[PROFIT MARGIN (eur)]]/K163, 0)</f>
        <v>0.9732142857142857</v>
      </c>
    </row>
    <row r="164" spans="1:13" x14ac:dyDescent="0.3">
      <c r="A164" s="18" t="s">
        <v>331</v>
      </c>
      <c r="B164" s="19">
        <v>46197</v>
      </c>
      <c r="C164" s="11" t="str">
        <f>_xlfn.XLOOKUP(D164, LISTA_PRODOTTI!$B$2:$B$13, LISTA_PRODOTTI!$A$2:$A$13)</f>
        <v>Software</v>
      </c>
      <c r="D164" s="20" t="s">
        <v>22</v>
      </c>
      <c r="E164" s="20" t="s">
        <v>30</v>
      </c>
      <c r="F164" s="20" t="s">
        <v>37</v>
      </c>
      <c r="G164" s="21">
        <v>36</v>
      </c>
      <c r="H164" s="22">
        <v>51</v>
      </c>
      <c r="I164" s="23">
        <v>15</v>
      </c>
      <c r="J164" s="16">
        <f t="shared" si="6"/>
        <v>1836</v>
      </c>
      <c r="K164" s="16">
        <f t="shared" si="7"/>
        <v>540</v>
      </c>
      <c r="L164" s="16">
        <f t="shared" si="8"/>
        <v>1296</v>
      </c>
      <c r="M164" s="17">
        <f>IF(AND(J164&lt;&gt;0, K164&lt;&gt;0), Table1[[#This Row],[PROFIT MARGIN (eur)]]/K164, 0)</f>
        <v>2.4</v>
      </c>
    </row>
    <row r="165" spans="1:13" x14ac:dyDescent="0.3">
      <c r="A165" s="18" t="s">
        <v>333</v>
      </c>
      <c r="B165" s="19">
        <v>46296</v>
      </c>
      <c r="C165" s="11" t="str">
        <f>_xlfn.XLOOKUP(D165, LISTA_PRODOTTI!$B$2:$B$13, LISTA_PRODOTTI!$A$2:$A$13)</f>
        <v>Software</v>
      </c>
      <c r="D165" s="20" t="s">
        <v>46</v>
      </c>
      <c r="E165" s="20" t="s">
        <v>19</v>
      </c>
      <c r="F165" s="20" t="s">
        <v>31</v>
      </c>
      <c r="G165" s="21">
        <v>5</v>
      </c>
      <c r="H165" s="22">
        <v>450</v>
      </c>
      <c r="I165" s="23">
        <v>120</v>
      </c>
      <c r="J165" s="16">
        <f t="shared" si="6"/>
        <v>2250</v>
      </c>
      <c r="K165" s="16">
        <f t="shared" si="7"/>
        <v>600</v>
      </c>
      <c r="L165" s="16">
        <f t="shared" si="8"/>
        <v>1650</v>
      </c>
      <c r="M165" s="17">
        <f>IF(AND(J165&lt;&gt;0, K165&lt;&gt;0), Table1[[#This Row],[PROFIT MARGIN (eur)]]/K165, 0)</f>
        <v>2.75</v>
      </c>
    </row>
    <row r="166" spans="1:13" x14ac:dyDescent="0.3">
      <c r="A166" s="18" t="s">
        <v>335</v>
      </c>
      <c r="B166" s="19">
        <v>46223</v>
      </c>
      <c r="C166" s="11" t="str">
        <f>_xlfn.XLOOKUP(D166, LISTA_PRODOTTI!$B$2:$B$13, LISTA_PRODOTTI!$A$2:$A$13)</f>
        <v>Elettronica</v>
      </c>
      <c r="D166" s="20" t="s">
        <v>71</v>
      </c>
      <c r="E166" s="20" t="s">
        <v>19</v>
      </c>
      <c r="F166" s="20" t="s">
        <v>14</v>
      </c>
      <c r="G166" s="21">
        <v>23</v>
      </c>
      <c r="H166" s="22">
        <v>76.5</v>
      </c>
      <c r="I166" s="23">
        <v>45</v>
      </c>
      <c r="J166" s="16">
        <f t="shared" si="6"/>
        <v>1759.5</v>
      </c>
      <c r="K166" s="16">
        <f t="shared" si="7"/>
        <v>1035</v>
      </c>
      <c r="L166" s="16">
        <f t="shared" si="8"/>
        <v>724.5</v>
      </c>
      <c r="M166" s="17">
        <f>IF(AND(J166&lt;&gt;0, K166&lt;&gt;0), Table1[[#This Row],[PROFIT MARGIN (eur)]]/K166, 0)</f>
        <v>0.7</v>
      </c>
    </row>
    <row r="167" spans="1:13" x14ac:dyDescent="0.3">
      <c r="A167" s="18" t="s">
        <v>336</v>
      </c>
      <c r="B167" s="19">
        <v>46203</v>
      </c>
      <c r="C167" s="11" t="str">
        <f>_xlfn.XLOOKUP(D167, LISTA_PRODOTTI!$B$2:$B$13, LISTA_PRODOTTI!$A$2:$A$13)</f>
        <v>Arredo</v>
      </c>
      <c r="D167" s="20" t="s">
        <v>18</v>
      </c>
      <c r="E167" s="20" t="s">
        <v>13</v>
      </c>
      <c r="F167" s="20" t="s">
        <v>37</v>
      </c>
      <c r="G167" s="21">
        <v>29</v>
      </c>
      <c r="H167" s="22">
        <v>70</v>
      </c>
      <c r="I167" s="23">
        <v>32</v>
      </c>
      <c r="J167" s="16">
        <f t="shared" si="6"/>
        <v>2030</v>
      </c>
      <c r="K167" s="16">
        <f t="shared" si="7"/>
        <v>928</v>
      </c>
      <c r="L167" s="16">
        <f t="shared" si="8"/>
        <v>1102</v>
      </c>
      <c r="M167" s="17">
        <f>IF(AND(J167&lt;&gt;0, K167&lt;&gt;0), Table1[[#This Row],[PROFIT MARGIN (eur)]]/K167, 0)</f>
        <v>1.1875</v>
      </c>
    </row>
    <row r="168" spans="1:13" x14ac:dyDescent="0.3">
      <c r="A168" s="18" t="s">
        <v>338</v>
      </c>
      <c r="B168" s="19">
        <v>46228</v>
      </c>
      <c r="C168" s="11" t="str">
        <f>_xlfn.XLOOKUP(D168, LISTA_PRODOTTI!$B$2:$B$13, LISTA_PRODOTTI!$A$2:$A$13)</f>
        <v>Elettronica</v>
      </c>
      <c r="D168" s="20" t="s">
        <v>51</v>
      </c>
      <c r="E168" s="20" t="s">
        <v>47</v>
      </c>
      <c r="F168" s="20" t="s">
        <v>24</v>
      </c>
      <c r="G168" s="21">
        <v>23</v>
      </c>
      <c r="H168" s="22">
        <v>85.5</v>
      </c>
      <c r="I168" s="23">
        <v>40</v>
      </c>
      <c r="J168" s="16">
        <f t="shared" si="6"/>
        <v>1966.5</v>
      </c>
      <c r="K168" s="16">
        <f t="shared" si="7"/>
        <v>920</v>
      </c>
      <c r="L168" s="16">
        <f t="shared" si="8"/>
        <v>1046.5</v>
      </c>
      <c r="M168" s="17">
        <f>IF(AND(J168&lt;&gt;0, K168&lt;&gt;0), Table1[[#This Row],[PROFIT MARGIN (eur)]]/K168, 0)</f>
        <v>1.1375</v>
      </c>
    </row>
    <row r="169" spans="1:13" x14ac:dyDescent="0.3">
      <c r="A169" s="18" t="s">
        <v>339</v>
      </c>
      <c r="B169" s="19">
        <v>46281</v>
      </c>
      <c r="C169" s="11" t="str">
        <f>_xlfn.XLOOKUP(D169, LISTA_PRODOTTI!$B$2:$B$13, LISTA_PRODOTTI!$A$2:$A$13)</f>
        <v>Arredo</v>
      </c>
      <c r="D169" s="20" t="s">
        <v>29</v>
      </c>
      <c r="E169" s="20" t="s">
        <v>19</v>
      </c>
      <c r="F169" s="20" t="s">
        <v>14</v>
      </c>
      <c r="G169" s="21">
        <v>8</v>
      </c>
      <c r="H169" s="22">
        <v>250</v>
      </c>
      <c r="I169" s="23">
        <v>160</v>
      </c>
      <c r="J169" s="16">
        <f t="shared" si="6"/>
        <v>2000</v>
      </c>
      <c r="K169" s="16">
        <f t="shared" si="7"/>
        <v>1280</v>
      </c>
      <c r="L169" s="16">
        <f t="shared" si="8"/>
        <v>720</v>
      </c>
      <c r="M169" s="17">
        <f>IF(AND(J169&lt;&gt;0, K169&lt;&gt;0), Table1[[#This Row],[PROFIT MARGIN (eur)]]/K169, 0)</f>
        <v>0.5625</v>
      </c>
    </row>
    <row r="170" spans="1:13" x14ac:dyDescent="0.3">
      <c r="A170" s="18" t="s">
        <v>341</v>
      </c>
      <c r="B170" s="19">
        <v>46315</v>
      </c>
      <c r="C170" s="11" t="str">
        <f>_xlfn.XLOOKUP(D170, LISTA_PRODOTTI!$B$2:$B$13, LISTA_PRODOTTI!$A$2:$A$13)</f>
        <v>Software</v>
      </c>
      <c r="D170" s="20" t="s">
        <v>22</v>
      </c>
      <c r="E170" s="20" t="s">
        <v>13</v>
      </c>
      <c r="F170" s="20" t="s">
        <v>37</v>
      </c>
      <c r="G170" s="21">
        <v>2</v>
      </c>
      <c r="H170" s="22">
        <v>60</v>
      </c>
      <c r="I170" s="23">
        <v>15</v>
      </c>
      <c r="J170" s="16">
        <f t="shared" si="6"/>
        <v>120</v>
      </c>
      <c r="K170" s="16">
        <f t="shared" si="7"/>
        <v>30</v>
      </c>
      <c r="L170" s="16">
        <f t="shared" si="8"/>
        <v>90</v>
      </c>
      <c r="M170" s="17">
        <f>IF(AND(J170&lt;&gt;0, K170&lt;&gt;0), Table1[[#This Row],[PROFIT MARGIN (eur)]]/K170, 0)</f>
        <v>3</v>
      </c>
    </row>
    <row r="171" spans="1:13" x14ac:dyDescent="0.3">
      <c r="A171" s="18" t="s">
        <v>343</v>
      </c>
      <c r="B171" s="19">
        <v>46228</v>
      </c>
      <c r="C171" s="11" t="str">
        <f>_xlfn.XLOOKUP(D171, LISTA_PRODOTTI!$B$2:$B$13, LISTA_PRODOTTI!$A$2:$A$13)</f>
        <v>Arredo</v>
      </c>
      <c r="D171" s="20" t="s">
        <v>61</v>
      </c>
      <c r="E171" s="20" t="s">
        <v>30</v>
      </c>
      <c r="F171" s="20" t="s">
        <v>37</v>
      </c>
      <c r="G171" s="21">
        <v>42</v>
      </c>
      <c r="H171" s="22">
        <v>40.5</v>
      </c>
      <c r="I171" s="23">
        <v>20</v>
      </c>
      <c r="J171" s="16">
        <f t="shared" si="6"/>
        <v>1701</v>
      </c>
      <c r="K171" s="16">
        <f t="shared" si="7"/>
        <v>840</v>
      </c>
      <c r="L171" s="16">
        <f t="shared" si="8"/>
        <v>861</v>
      </c>
      <c r="M171" s="17">
        <f>IF(AND(J171&lt;&gt;0, K171&lt;&gt;0), Table1[[#This Row],[PROFIT MARGIN (eur)]]/K171, 0)</f>
        <v>1.0249999999999999</v>
      </c>
    </row>
    <row r="172" spans="1:13" x14ac:dyDescent="0.3">
      <c r="A172" s="18" t="s">
        <v>345</v>
      </c>
      <c r="B172" s="19">
        <v>46208</v>
      </c>
      <c r="C172" s="11" t="str">
        <f>_xlfn.XLOOKUP(D172, LISTA_PRODOTTI!$B$2:$B$13, LISTA_PRODOTTI!$A$2:$A$13)</f>
        <v>Arredo</v>
      </c>
      <c r="D172" s="20" t="s">
        <v>34</v>
      </c>
      <c r="E172" s="20" t="s">
        <v>47</v>
      </c>
      <c r="F172" s="20" t="s">
        <v>31</v>
      </c>
      <c r="G172" s="21">
        <v>14</v>
      </c>
      <c r="H172" s="22">
        <v>180</v>
      </c>
      <c r="I172" s="23">
        <v>110</v>
      </c>
      <c r="J172" s="16">
        <f t="shared" si="6"/>
        <v>2520</v>
      </c>
      <c r="K172" s="16">
        <f t="shared" si="7"/>
        <v>1540</v>
      </c>
      <c r="L172" s="16">
        <f t="shared" si="8"/>
        <v>980</v>
      </c>
      <c r="M172" s="17">
        <f>IF(AND(J172&lt;&gt;0, K172&lt;&gt;0), Table1[[#This Row],[PROFIT MARGIN (eur)]]/K172, 0)</f>
        <v>0.63636363636363635</v>
      </c>
    </row>
    <row r="173" spans="1:13" x14ac:dyDescent="0.3">
      <c r="A173" s="18" t="s">
        <v>346</v>
      </c>
      <c r="B173" s="19">
        <v>46193</v>
      </c>
      <c r="C173" s="11" t="str">
        <f>_xlfn.XLOOKUP(D173, LISTA_PRODOTTI!$B$2:$B$13, LISTA_PRODOTTI!$A$2:$A$13)</f>
        <v>Arredo</v>
      </c>
      <c r="D173" s="20" t="s">
        <v>29</v>
      </c>
      <c r="E173" s="20" t="s">
        <v>13</v>
      </c>
      <c r="F173" s="20" t="s">
        <v>24</v>
      </c>
      <c r="G173" s="21">
        <v>33</v>
      </c>
      <c r="H173" s="22">
        <v>225</v>
      </c>
      <c r="I173" s="23">
        <v>160</v>
      </c>
      <c r="J173" s="16">
        <f t="shared" si="6"/>
        <v>7425</v>
      </c>
      <c r="K173" s="16">
        <f t="shared" si="7"/>
        <v>5280</v>
      </c>
      <c r="L173" s="16">
        <f t="shared" si="8"/>
        <v>2145</v>
      </c>
      <c r="M173" s="17">
        <f>IF(AND(J173&lt;&gt;0, K173&lt;&gt;0), Table1[[#This Row],[PROFIT MARGIN (eur)]]/K173, 0)</f>
        <v>0.40625</v>
      </c>
    </row>
    <row r="174" spans="1:13" x14ac:dyDescent="0.3">
      <c r="A174" s="18" t="s">
        <v>347</v>
      </c>
      <c r="B174" s="19">
        <v>46298</v>
      </c>
      <c r="C174" s="11" t="str">
        <f>_xlfn.XLOOKUP(D174, LISTA_PRODOTTI!$B$2:$B$13, LISTA_PRODOTTI!$A$2:$A$13)</f>
        <v>Software</v>
      </c>
      <c r="D174" s="20" t="s">
        <v>46</v>
      </c>
      <c r="E174" s="20" t="s">
        <v>13</v>
      </c>
      <c r="F174" s="20" t="s">
        <v>360</v>
      </c>
      <c r="G174" s="21">
        <v>34</v>
      </c>
      <c r="H174" s="22">
        <v>425</v>
      </c>
      <c r="I174" s="23">
        <v>120</v>
      </c>
      <c r="J174" s="16">
        <f t="shared" si="6"/>
        <v>14450</v>
      </c>
      <c r="K174" s="16">
        <f t="shared" si="7"/>
        <v>4080</v>
      </c>
      <c r="L174" s="16">
        <f t="shared" si="8"/>
        <v>10370</v>
      </c>
      <c r="M174" s="17">
        <f>IF(AND(J174&lt;&gt;0, K174&lt;&gt;0), Table1[[#This Row],[PROFIT MARGIN (eur)]]/K174, 0)</f>
        <v>2.5416666666666665</v>
      </c>
    </row>
    <row r="175" spans="1:13" x14ac:dyDescent="0.3">
      <c r="A175" s="18" t="s">
        <v>349</v>
      </c>
      <c r="B175" s="19">
        <v>46185</v>
      </c>
      <c r="C175" s="11" t="str">
        <f>_xlfn.XLOOKUP(D175, LISTA_PRODOTTI!$B$2:$B$13, LISTA_PRODOTTI!$A$2:$A$13)</f>
        <v>Elettronica</v>
      </c>
      <c r="D175" s="20" t="s">
        <v>51</v>
      </c>
      <c r="E175" s="20" t="s">
        <v>30</v>
      </c>
      <c r="F175" s="20" t="s">
        <v>360</v>
      </c>
      <c r="G175" s="21">
        <v>32</v>
      </c>
      <c r="H175" s="22">
        <v>80.75</v>
      </c>
      <c r="I175" s="23">
        <v>40</v>
      </c>
      <c r="J175" s="16">
        <f t="shared" si="6"/>
        <v>2584</v>
      </c>
      <c r="K175" s="16">
        <f t="shared" si="7"/>
        <v>1280</v>
      </c>
      <c r="L175" s="16">
        <f t="shared" si="8"/>
        <v>1304</v>
      </c>
      <c r="M175" s="17">
        <f>IF(AND(J175&lt;&gt;0, K175&lt;&gt;0), Table1[[#This Row],[PROFIT MARGIN (eur)]]/K175, 0)</f>
        <v>1.01875</v>
      </c>
    </row>
    <row r="176" spans="1:13" x14ac:dyDescent="0.3">
      <c r="A176" s="18" t="s">
        <v>351</v>
      </c>
      <c r="B176" s="19">
        <v>46204</v>
      </c>
      <c r="C176" s="11" t="str">
        <f>_xlfn.XLOOKUP(D176, LISTA_PRODOTTI!$B$2:$B$13, LISTA_PRODOTTI!$A$2:$A$13)</f>
        <v>Software</v>
      </c>
      <c r="D176" s="20" t="s">
        <v>22</v>
      </c>
      <c r="E176" s="20" t="s">
        <v>19</v>
      </c>
      <c r="F176" s="20" t="s">
        <v>24</v>
      </c>
      <c r="G176" s="21">
        <v>11</v>
      </c>
      <c r="H176" s="22">
        <v>60</v>
      </c>
      <c r="I176" s="23">
        <v>15</v>
      </c>
      <c r="J176" s="16">
        <f t="shared" si="6"/>
        <v>660</v>
      </c>
      <c r="K176" s="16">
        <f t="shared" si="7"/>
        <v>165</v>
      </c>
      <c r="L176" s="16">
        <f t="shared" si="8"/>
        <v>495</v>
      </c>
      <c r="M176" s="17">
        <f>IF(AND(J176&lt;&gt;0, K176&lt;&gt;0), Table1[[#This Row],[PROFIT MARGIN (eur)]]/K176, 0)</f>
        <v>3</v>
      </c>
    </row>
    <row r="177" spans="1:13" x14ac:dyDescent="0.3">
      <c r="A177" s="18" t="s">
        <v>353</v>
      </c>
      <c r="B177" s="19">
        <v>46256</v>
      </c>
      <c r="C177" s="11" t="str">
        <f>_xlfn.XLOOKUP(D177, LISTA_PRODOTTI!$B$2:$B$13, LISTA_PRODOTTI!$A$2:$A$13)</f>
        <v>Elettronica</v>
      </c>
      <c r="D177" s="20" t="s">
        <v>108</v>
      </c>
      <c r="E177" s="20" t="s">
        <v>19</v>
      </c>
      <c r="F177" s="20" t="s">
        <v>40</v>
      </c>
      <c r="G177" s="21">
        <v>7</v>
      </c>
      <c r="H177" s="22">
        <v>108</v>
      </c>
      <c r="I177" s="23">
        <v>75</v>
      </c>
      <c r="J177" s="16">
        <f t="shared" si="6"/>
        <v>756</v>
      </c>
      <c r="K177" s="16">
        <f t="shared" si="7"/>
        <v>525</v>
      </c>
      <c r="L177" s="16">
        <f t="shared" si="8"/>
        <v>231</v>
      </c>
      <c r="M177" s="17">
        <f>IF(AND(J177&lt;&gt;0, K177&lt;&gt;0), Table1[[#This Row],[PROFIT MARGIN (eur)]]/K177, 0)</f>
        <v>0.44</v>
      </c>
    </row>
    <row r="178" spans="1:13" x14ac:dyDescent="0.3">
      <c r="A178" s="18" t="s">
        <v>355</v>
      </c>
      <c r="B178" s="19">
        <v>46274</v>
      </c>
      <c r="C178" s="11" t="str">
        <f>_xlfn.XLOOKUP(D178, LISTA_PRODOTTI!$B$2:$B$13, LISTA_PRODOTTI!$A$2:$A$13)</f>
        <v>Elettronica</v>
      </c>
      <c r="D178" s="20" t="s">
        <v>51</v>
      </c>
      <c r="E178" s="20" t="s">
        <v>19</v>
      </c>
      <c r="F178" s="20" t="s">
        <v>14</v>
      </c>
      <c r="G178" s="21">
        <v>37</v>
      </c>
      <c r="H178" s="22">
        <v>85.5</v>
      </c>
      <c r="I178" s="23">
        <v>40</v>
      </c>
      <c r="J178" s="16">
        <f t="shared" si="6"/>
        <v>3163.5</v>
      </c>
      <c r="K178" s="16">
        <f t="shared" si="7"/>
        <v>1480</v>
      </c>
      <c r="L178" s="16">
        <f t="shared" si="8"/>
        <v>1683.5</v>
      </c>
      <c r="M178" s="17">
        <f>IF(AND(J178&lt;&gt;0, K178&lt;&gt;0), Table1[[#This Row],[PROFIT MARGIN (eur)]]/K178, 0)</f>
        <v>1.1375</v>
      </c>
    </row>
    <row r="179" spans="1:13" x14ac:dyDescent="0.3">
      <c r="A179" s="18" t="s">
        <v>356</v>
      </c>
      <c r="B179" s="19">
        <v>46265</v>
      </c>
      <c r="C179" s="11" t="str">
        <f>_xlfn.XLOOKUP(D179, LISTA_PRODOTTI!$B$2:$B$13, LISTA_PRODOTTI!$A$2:$A$13)</f>
        <v>Software</v>
      </c>
      <c r="D179" s="20" t="s">
        <v>46</v>
      </c>
      <c r="E179" s="20" t="s">
        <v>13</v>
      </c>
      <c r="F179" s="20" t="s">
        <v>24</v>
      </c>
      <c r="G179" s="21">
        <v>2</v>
      </c>
      <c r="H179" s="22">
        <v>475</v>
      </c>
      <c r="I179" s="23">
        <v>120</v>
      </c>
      <c r="J179" s="16">
        <f t="shared" si="6"/>
        <v>950</v>
      </c>
      <c r="K179" s="16">
        <f t="shared" si="7"/>
        <v>240</v>
      </c>
      <c r="L179" s="16">
        <f t="shared" si="8"/>
        <v>710</v>
      </c>
      <c r="M179" s="17">
        <f>IF(AND(J179&lt;&gt;0, K179&lt;&gt;0), Table1[[#This Row],[PROFIT MARGIN (eur)]]/K179, 0)</f>
        <v>2.9583333333333335</v>
      </c>
    </row>
    <row r="180" spans="1:13" x14ac:dyDescent="0.3">
      <c r="A180" s="18" t="s">
        <v>357</v>
      </c>
      <c r="B180" s="19">
        <v>46311</v>
      </c>
      <c r="C180" s="11" t="str">
        <f>_xlfn.XLOOKUP(D180, LISTA_PRODOTTI!$B$2:$B$13, LISTA_PRODOTTI!$A$2:$A$13)</f>
        <v>Software</v>
      </c>
      <c r="D180" s="20" t="s">
        <v>46</v>
      </c>
      <c r="E180" s="20" t="s">
        <v>13</v>
      </c>
      <c r="F180" s="20" t="s">
        <v>14</v>
      </c>
      <c r="G180" s="21">
        <v>21</v>
      </c>
      <c r="H180" s="22">
        <v>425</v>
      </c>
      <c r="I180" s="23">
        <v>120</v>
      </c>
      <c r="J180" s="16">
        <f t="shared" si="6"/>
        <v>8925</v>
      </c>
      <c r="K180" s="16">
        <f t="shared" si="7"/>
        <v>2520</v>
      </c>
      <c r="L180" s="16">
        <f t="shared" si="8"/>
        <v>6405</v>
      </c>
      <c r="M180" s="17">
        <f>IF(AND(J180&lt;&gt;0, K180&lt;&gt;0), Table1[[#This Row],[PROFIT MARGIN (eur)]]/K180, 0)</f>
        <v>2.5416666666666665</v>
      </c>
    </row>
    <row r="181" spans="1:13" x14ac:dyDescent="0.3">
      <c r="A181" s="24" t="s">
        <v>359</v>
      </c>
      <c r="B181" s="25">
        <v>46312</v>
      </c>
      <c r="C181" s="11" t="str">
        <f>_xlfn.XLOOKUP(D181, LISTA_PRODOTTI!$B$2:$B$13, LISTA_PRODOTTI!$A$2:$A$13)</f>
        <v>Software</v>
      </c>
      <c r="D181" s="26" t="s">
        <v>46</v>
      </c>
      <c r="E181" s="26" t="s">
        <v>30</v>
      </c>
      <c r="F181" s="26" t="s">
        <v>14</v>
      </c>
      <c r="G181" s="27">
        <v>18</v>
      </c>
      <c r="H181" s="28">
        <v>500</v>
      </c>
      <c r="I181" s="29">
        <v>120</v>
      </c>
      <c r="J181" s="16">
        <f t="shared" si="6"/>
        <v>9000</v>
      </c>
      <c r="K181" s="16">
        <f t="shared" si="7"/>
        <v>2160</v>
      </c>
      <c r="L181" s="16">
        <f t="shared" si="8"/>
        <v>6840</v>
      </c>
      <c r="M181" s="17">
        <f>IF(AND(J181&lt;&gt;0, K181&lt;&gt;0), Table1[[#This Row],[PROFIT MARGIN (eur)]]/K181, 0)</f>
        <v>3.1666666666666665</v>
      </c>
    </row>
    <row r="182" spans="1:13" ht="15" thickBot="1" x14ac:dyDescent="0.35"/>
    <row r="183" spans="1:13" x14ac:dyDescent="0.3">
      <c r="J183" s="42" t="s">
        <v>373</v>
      </c>
      <c r="K183" s="43" t="s">
        <v>374</v>
      </c>
      <c r="L183" s="43" t="s">
        <v>371</v>
      </c>
      <c r="M183" s="44" t="s">
        <v>372</v>
      </c>
    </row>
    <row r="184" spans="1:13" ht="15" thickBot="1" x14ac:dyDescent="0.35">
      <c r="J184" s="39">
        <f>SUM(Table1[TOT_REVENUE])</f>
        <v>873007.25</v>
      </c>
      <c r="K184" s="40">
        <f>SUM(Table1[TOT_COST])</f>
        <v>329543</v>
      </c>
      <c r="L184" s="40">
        <f>J184-K184</f>
        <v>543464.25</v>
      </c>
      <c r="M184" s="41">
        <f>L184/J184</f>
        <v>0.62251974425183754</v>
      </c>
    </row>
  </sheetData>
  <conditionalFormatting sqref="A182:A1048576">
    <cfRule type="duplicateValues" dxfId="1" priority="1"/>
  </conditionalFormatting>
  <conditionalFormatting sqref="A188:A1048576">
    <cfRule type="duplicateValues" dxfId="0" priority="2"/>
  </conditionalFormatting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B50B-A3AE-4E76-852E-D301693B24EB}">
  <dimension ref="A3:E31"/>
  <sheetViews>
    <sheetView tabSelected="1" zoomScale="79" workbookViewId="0">
      <selection activeCell="D23" sqref="D23"/>
    </sheetView>
  </sheetViews>
  <sheetFormatPr defaultRowHeight="14.4" x14ac:dyDescent="0.3"/>
  <cols>
    <col min="1" max="1" width="28.21875" bestFit="1" customWidth="1"/>
    <col min="2" max="2" width="27" bestFit="1" customWidth="1"/>
    <col min="3" max="3" width="28.88671875" bestFit="1" customWidth="1"/>
    <col min="4" max="4" width="27" bestFit="1" customWidth="1"/>
    <col min="5" max="5" width="25.5546875" bestFit="1" customWidth="1"/>
    <col min="6" max="6" width="10.33203125" bestFit="1" customWidth="1"/>
    <col min="7" max="7" width="8.77734375" bestFit="1" customWidth="1"/>
    <col min="8" max="8" width="31.88671875" bestFit="1" customWidth="1"/>
    <col min="9" max="9" width="34" bestFit="1" customWidth="1"/>
    <col min="10" max="14" width="28.88671875" bestFit="1" customWidth="1"/>
    <col min="15" max="15" width="31.77734375" bestFit="1" customWidth="1"/>
    <col min="16" max="16" width="33.88671875" bestFit="1" customWidth="1"/>
    <col min="17" max="22" width="28.88671875" bestFit="1" customWidth="1"/>
    <col min="23" max="23" width="31.88671875" bestFit="1" customWidth="1"/>
    <col min="24" max="24" width="34" bestFit="1" customWidth="1"/>
    <col min="25" max="30" width="28.88671875" bestFit="1" customWidth="1"/>
    <col min="31" max="31" width="30.77734375" bestFit="1" customWidth="1"/>
    <col min="32" max="32" width="32.77734375" bestFit="1" customWidth="1"/>
    <col min="33" max="33" width="31.88671875" bestFit="1" customWidth="1"/>
    <col min="34" max="34" width="34" bestFit="1" customWidth="1"/>
  </cols>
  <sheetData>
    <row r="3" spans="1:5" x14ac:dyDescent="0.3">
      <c r="A3" s="34" t="s">
        <v>368</v>
      </c>
      <c r="B3" t="s">
        <v>365</v>
      </c>
      <c r="C3" t="s">
        <v>366</v>
      </c>
      <c r="D3" t="s">
        <v>367</v>
      </c>
      <c r="E3" t="s">
        <v>370</v>
      </c>
    </row>
    <row r="4" spans="1:5" x14ac:dyDescent="0.3">
      <c r="A4" s="35" t="s">
        <v>17</v>
      </c>
      <c r="B4" s="36">
        <v>161714</v>
      </c>
      <c r="C4" s="36">
        <v>100422</v>
      </c>
      <c r="D4" s="36">
        <v>61292</v>
      </c>
      <c r="E4" s="38">
        <v>0.18681958681444694</v>
      </c>
    </row>
    <row r="5" spans="1:5" x14ac:dyDescent="0.3">
      <c r="A5" s="37" t="s">
        <v>34</v>
      </c>
      <c r="B5" s="36">
        <v>71910</v>
      </c>
      <c r="C5" s="36">
        <v>46530</v>
      </c>
      <c r="D5" s="36">
        <v>25380</v>
      </c>
      <c r="E5" s="38">
        <v>3.6121113886369724E-2</v>
      </c>
    </row>
    <row r="6" spans="1:5" x14ac:dyDescent="0.3">
      <c r="A6" s="37" t="s">
        <v>18</v>
      </c>
      <c r="B6" s="36">
        <v>28066.5</v>
      </c>
      <c r="C6" s="36">
        <v>13152</v>
      </c>
      <c r="D6" s="36">
        <v>14914.5</v>
      </c>
      <c r="E6" s="38">
        <v>7.3998115253326863E-2</v>
      </c>
    </row>
    <row r="7" spans="1:5" x14ac:dyDescent="0.3">
      <c r="A7" s="37" t="s">
        <v>29</v>
      </c>
      <c r="B7" s="36">
        <v>45425</v>
      </c>
      <c r="C7" s="36">
        <v>32960</v>
      </c>
      <c r="D7" s="36">
        <v>12465</v>
      </c>
      <c r="E7" s="38">
        <v>1.567756679095908E-2</v>
      </c>
    </row>
    <row r="8" spans="1:5" x14ac:dyDescent="0.3">
      <c r="A8" s="37" t="s">
        <v>61</v>
      </c>
      <c r="B8" s="36">
        <v>16312.5</v>
      </c>
      <c r="C8" s="36">
        <v>7780</v>
      </c>
      <c r="D8" s="36">
        <v>8532.5</v>
      </c>
      <c r="E8" s="38">
        <v>6.1022790883791263E-2</v>
      </c>
    </row>
    <row r="9" spans="1:5" x14ac:dyDescent="0.3">
      <c r="A9" s="35" t="s">
        <v>50</v>
      </c>
      <c r="B9" s="36">
        <v>152346.75</v>
      </c>
      <c r="C9" s="36">
        <v>88736</v>
      </c>
      <c r="D9" s="36">
        <v>63610.75</v>
      </c>
      <c r="E9" s="38">
        <v>0.1827027889870998</v>
      </c>
    </row>
    <row r="10" spans="1:5" x14ac:dyDescent="0.3">
      <c r="A10" s="37" t="s">
        <v>51</v>
      </c>
      <c r="B10" s="36">
        <v>32532.75</v>
      </c>
      <c r="C10" s="36">
        <v>14800</v>
      </c>
      <c r="D10" s="36">
        <v>17732.75</v>
      </c>
      <c r="E10" s="38">
        <v>6.6586901861237113E-2</v>
      </c>
    </row>
    <row r="11" spans="1:5" x14ac:dyDescent="0.3">
      <c r="A11" s="37" t="s">
        <v>58</v>
      </c>
      <c r="B11" s="36">
        <v>48992</v>
      </c>
      <c r="C11" s="36">
        <v>33180</v>
      </c>
      <c r="D11" s="36">
        <v>15812</v>
      </c>
      <c r="E11" s="38">
        <v>1.1988248475995722E-2</v>
      </c>
    </row>
    <row r="12" spans="1:5" x14ac:dyDescent="0.3">
      <c r="A12" s="37" t="s">
        <v>108</v>
      </c>
      <c r="B12" s="36">
        <v>30756</v>
      </c>
      <c r="C12" s="36">
        <v>20100</v>
      </c>
      <c r="D12" s="36">
        <v>10656</v>
      </c>
      <c r="E12" s="38">
        <v>2.8459059425624628E-2</v>
      </c>
    </row>
    <row r="13" spans="1:5" x14ac:dyDescent="0.3">
      <c r="A13" s="37" t="s">
        <v>112</v>
      </c>
      <c r="B13" s="36">
        <v>18463.25</v>
      </c>
      <c r="C13" s="36">
        <v>8596</v>
      </c>
      <c r="D13" s="36">
        <v>9867.25</v>
      </c>
      <c r="E13" s="38">
        <v>4.668250017962465E-2</v>
      </c>
    </row>
    <row r="14" spans="1:5" x14ac:dyDescent="0.3">
      <c r="A14" s="37" t="s">
        <v>71</v>
      </c>
      <c r="B14" s="36">
        <v>21602.75</v>
      </c>
      <c r="C14" s="36">
        <v>12060</v>
      </c>
      <c r="D14" s="36">
        <v>9542.75</v>
      </c>
      <c r="E14" s="38">
        <v>2.8986079044617679E-2</v>
      </c>
    </row>
    <row r="15" spans="1:5" x14ac:dyDescent="0.3">
      <c r="A15" s="35" t="s">
        <v>11</v>
      </c>
      <c r="B15" s="36">
        <v>558946.5</v>
      </c>
      <c r="C15" s="36">
        <v>140385</v>
      </c>
      <c r="D15" s="36">
        <v>418561.5</v>
      </c>
      <c r="E15" s="38">
        <v>0.63047762419845332</v>
      </c>
    </row>
    <row r="16" spans="1:5" x14ac:dyDescent="0.3">
      <c r="A16" s="37" t="s">
        <v>12</v>
      </c>
      <c r="B16" s="36">
        <v>274677.5</v>
      </c>
      <c r="C16" s="36">
        <v>66600</v>
      </c>
      <c r="D16" s="36">
        <v>208077.5</v>
      </c>
      <c r="E16" s="38">
        <v>0.18197379344269593</v>
      </c>
    </row>
    <row r="17" spans="1:5" x14ac:dyDescent="0.3">
      <c r="A17" s="37" t="s">
        <v>46</v>
      </c>
      <c r="B17" s="36">
        <v>265900</v>
      </c>
      <c r="C17" s="36">
        <v>68880</v>
      </c>
      <c r="D17" s="36">
        <v>197020</v>
      </c>
      <c r="E17" s="38">
        <v>0.30693825310008616</v>
      </c>
    </row>
    <row r="18" spans="1:5" x14ac:dyDescent="0.3">
      <c r="A18" s="37" t="s">
        <v>22</v>
      </c>
      <c r="B18" s="36">
        <v>18369</v>
      </c>
      <c r="C18" s="36">
        <v>4905</v>
      </c>
      <c r="D18" s="36">
        <v>13464</v>
      </c>
      <c r="E18" s="38">
        <v>0.14156557765567121</v>
      </c>
    </row>
    <row r="19" spans="1:5" x14ac:dyDescent="0.3">
      <c r="A19" s="35" t="s">
        <v>369</v>
      </c>
      <c r="B19" s="36">
        <v>873007.25</v>
      </c>
      <c r="C19" s="36">
        <v>329543</v>
      </c>
      <c r="D19" s="36">
        <v>543464.25</v>
      </c>
      <c r="E19" s="38">
        <v>1</v>
      </c>
    </row>
    <row r="26" spans="1:5" x14ac:dyDescent="0.3">
      <c r="A26" s="34" t="s">
        <v>368</v>
      </c>
      <c r="B26" t="s">
        <v>367</v>
      </c>
      <c r="C26" t="s">
        <v>375</v>
      </c>
    </row>
    <row r="27" spans="1:5" x14ac:dyDescent="0.3">
      <c r="A27" s="35" t="s">
        <v>13</v>
      </c>
      <c r="B27" s="36">
        <v>148826.25</v>
      </c>
      <c r="C27" s="38">
        <v>1.0985459072264794</v>
      </c>
    </row>
    <row r="28" spans="1:5" x14ac:dyDescent="0.3">
      <c r="A28" s="35" t="s">
        <v>30</v>
      </c>
      <c r="B28" s="36">
        <v>140685.25</v>
      </c>
      <c r="C28" s="38">
        <v>1.0352835317325837</v>
      </c>
    </row>
    <row r="29" spans="1:5" x14ac:dyDescent="0.3">
      <c r="A29" s="35" t="s">
        <v>47</v>
      </c>
      <c r="B29" s="36">
        <v>133154</v>
      </c>
      <c r="C29" s="38">
        <v>0.92842930822642766</v>
      </c>
    </row>
    <row r="30" spans="1:5" x14ac:dyDescent="0.3">
      <c r="A30" s="35" t="s">
        <v>19</v>
      </c>
      <c r="B30" s="36">
        <v>120798.75</v>
      </c>
      <c r="C30" s="38">
        <v>0.92412006998212448</v>
      </c>
    </row>
    <row r="31" spans="1:5" x14ac:dyDescent="0.3">
      <c r="A31" s="35" t="s">
        <v>369</v>
      </c>
      <c r="B31" s="36">
        <v>543464.25</v>
      </c>
      <c r="C31" s="38">
        <v>1</v>
      </c>
    </row>
  </sheetData>
  <sortState xmlns:xlrd2="http://schemas.microsoft.com/office/spreadsheetml/2017/richdata2" columnSort="1" ref="A3:E19">
    <sortCondition descending="1" ref="D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E76B-720E-47EB-9C65-B5F645FB8A63}">
  <dimension ref="B2:D15"/>
  <sheetViews>
    <sheetView topLeftCell="A11" zoomScale="69" workbookViewId="0">
      <selection activeCell="D20" sqref="D20"/>
    </sheetView>
  </sheetViews>
  <sheetFormatPr defaultRowHeight="14.4" x14ac:dyDescent="0.3"/>
  <cols>
    <col min="2" max="2" width="25.44140625" bestFit="1" customWidth="1"/>
    <col min="3" max="3" width="27" bestFit="1" customWidth="1"/>
    <col min="4" max="4" width="45.21875" bestFit="1" customWidth="1"/>
  </cols>
  <sheetData>
    <row r="2" spans="2:4" x14ac:dyDescent="0.3">
      <c r="B2" s="34" t="s">
        <v>376</v>
      </c>
      <c r="C2" t="s">
        <v>367</v>
      </c>
      <c r="D2" t="s">
        <v>375</v>
      </c>
    </row>
    <row r="3" spans="2:4" x14ac:dyDescent="0.3">
      <c r="B3" s="35" t="s">
        <v>61</v>
      </c>
      <c r="C3" s="36">
        <v>8532.5</v>
      </c>
      <c r="D3" s="38">
        <v>0.73227349060549585</v>
      </c>
    </row>
    <row r="4" spans="2:4" x14ac:dyDescent="0.3">
      <c r="B4" s="35" t="s">
        <v>71</v>
      </c>
      <c r="C4" s="36">
        <v>9542.75</v>
      </c>
      <c r="D4" s="38">
        <v>0.52174942280311876</v>
      </c>
    </row>
    <row r="5" spans="2:4" x14ac:dyDescent="0.3">
      <c r="B5" s="35" t="s">
        <v>112</v>
      </c>
      <c r="C5" s="36">
        <v>9867.25</v>
      </c>
      <c r="D5" s="38">
        <v>0.76389545748476773</v>
      </c>
    </row>
    <row r="6" spans="2:4" x14ac:dyDescent="0.3">
      <c r="B6" s="35" t="s">
        <v>108</v>
      </c>
      <c r="C6" s="36">
        <v>10656</v>
      </c>
      <c r="D6" s="38">
        <v>0.34150871310749592</v>
      </c>
    </row>
    <row r="7" spans="2:4" x14ac:dyDescent="0.3">
      <c r="B7" s="35" t="s">
        <v>29</v>
      </c>
      <c r="C7" s="36">
        <v>12465</v>
      </c>
      <c r="D7" s="38">
        <v>0.25654200203387612</v>
      </c>
    </row>
    <row r="8" spans="2:4" x14ac:dyDescent="0.3">
      <c r="B8" s="35" t="s">
        <v>22</v>
      </c>
      <c r="C8" s="36">
        <v>13464</v>
      </c>
      <c r="D8" s="38">
        <v>1.8201288555729176</v>
      </c>
    </row>
    <row r="9" spans="2:4" x14ac:dyDescent="0.3">
      <c r="B9" s="35" t="s">
        <v>18</v>
      </c>
      <c r="C9" s="36">
        <v>14914.5</v>
      </c>
      <c r="D9" s="38">
        <v>0.73998115253326935</v>
      </c>
    </row>
    <row r="10" spans="2:4" x14ac:dyDescent="0.3">
      <c r="B10" s="35" t="s">
        <v>58</v>
      </c>
      <c r="C10" s="36">
        <v>15812</v>
      </c>
      <c r="D10" s="38">
        <v>0.30826924652560461</v>
      </c>
    </row>
    <row r="11" spans="2:4" x14ac:dyDescent="0.3">
      <c r="B11" s="35" t="s">
        <v>51</v>
      </c>
      <c r="C11" s="36">
        <v>17732.75</v>
      </c>
      <c r="D11" s="38">
        <v>0.79904282233484614</v>
      </c>
    </row>
    <row r="12" spans="2:4" x14ac:dyDescent="0.3">
      <c r="B12" s="35" t="s">
        <v>34</v>
      </c>
      <c r="C12" s="36">
        <v>25380</v>
      </c>
      <c r="D12" s="38">
        <v>0.36121113886369766</v>
      </c>
    </row>
    <row r="13" spans="2:4" x14ac:dyDescent="0.3">
      <c r="B13" s="35" t="s">
        <v>46</v>
      </c>
      <c r="C13" s="36">
        <v>197020</v>
      </c>
      <c r="D13" s="38">
        <v>1.8416295186005189</v>
      </c>
    </row>
    <row r="14" spans="2:4" x14ac:dyDescent="0.3">
      <c r="B14" s="35" t="s">
        <v>12</v>
      </c>
      <c r="C14" s="36">
        <v>208077.5</v>
      </c>
      <c r="D14" s="38">
        <v>2.0472051762303316</v>
      </c>
    </row>
    <row r="15" spans="2:4" x14ac:dyDescent="0.3">
      <c r="B15" s="35" t="s">
        <v>369</v>
      </c>
      <c r="C15" s="36">
        <v>543464.25</v>
      </c>
      <c r="D15" s="38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331FD-EA08-4497-B29A-78535B4429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RAW_Dump_ERP_Q3_Q4</vt:lpstr>
      <vt:lpstr>LISTA_PRODOTTI</vt:lpstr>
      <vt:lpstr>CLEAN_Dump_ERP_Q3_Q4 </vt:lpstr>
      <vt:lpstr>PIVOT_TABLE</vt:lpstr>
      <vt:lpstr>GRAFICI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Valenti</cp:lastModifiedBy>
  <dcterms:created xsi:type="dcterms:W3CDTF">2026-10-26T14:51:08Z</dcterms:created>
  <dcterms:modified xsi:type="dcterms:W3CDTF">2026-10-27T15:04:51Z</dcterms:modified>
</cp:coreProperties>
</file>