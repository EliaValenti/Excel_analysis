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v\Desktop\"/>
    </mc:Choice>
  </mc:AlternateContent>
  <xr:revisionPtr revIDLastSave="0" documentId="13_ncr:1_{674A140E-61D9-42BA-9805-3D7EB6577F52}" xr6:coauthVersionLast="47" xr6:coauthVersionMax="47" xr10:uidLastSave="{00000000-0000-0000-0000-000000000000}"/>
  <bookViews>
    <workbookView xWindow="-28920" yWindow="-840" windowWidth="29040" windowHeight="15720" activeTab="4" xr2:uid="{00000000-000D-0000-FFFF-FFFF00000000}"/>
  </bookViews>
  <sheets>
    <sheet name="DS_Consulenze_RAW" sheetId="1" r:id="rId1"/>
    <sheet name="DS_Consulenze" sheetId="6" r:id="rId2"/>
    <sheet name="Sheet1" sheetId="2" r:id="rId3"/>
    <sheet name="Sheet2" sheetId="3" r:id="rId4"/>
    <sheet name="Sheet3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5" l="1"/>
  <c r="D33" i="5"/>
  <c r="B29" i="5"/>
  <c r="C29" i="5"/>
  <c r="D32" i="5"/>
  <c r="D29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Elia Valenti</author>
  </authors>
  <commentList>
    <comment ref="I5" authorId="0" shapeId="0" xr:uid="{6A26B4E2-1958-4C66-A22D-38381B265BE8}">
      <text>
        <r>
          <rPr>
            <b/>
            <sz val="9"/>
            <color indexed="81"/>
            <rFont val="Tahoma"/>
            <charset val="1"/>
          </rPr>
          <t>Elia Valenti:</t>
        </r>
        <r>
          <rPr>
            <sz val="9"/>
            <color indexed="81"/>
            <rFont val="Tahoma"/>
            <charset val="1"/>
          </rPr>
          <t xml:space="preserve">
La percentuale è calcolata in base ai risultati della riga evidenziata, infatti la somma totale è il 100%</t>
        </r>
      </text>
    </comment>
  </commentList>
</comments>
</file>

<file path=xl/sharedStrings.xml><?xml version="1.0" encoding="utf-8"?>
<sst xmlns="http://schemas.openxmlformats.org/spreadsheetml/2006/main" count="6105" uniqueCount="586">
  <si>
    <t>ID_Fattura</t>
  </si>
  <si>
    <t>Data</t>
  </si>
  <si>
    <t>SettoreCliente</t>
  </si>
  <si>
    <t>Regione</t>
  </si>
  <si>
    <t>TipoServizio</t>
  </si>
  <si>
    <t>Ore_Preventivate</t>
  </si>
  <si>
    <t>Ore_Fatturate</t>
  </si>
  <si>
    <t>TariffaOraria</t>
  </si>
  <si>
    <t>Imponibile</t>
  </si>
  <si>
    <t>AliquotaIVA</t>
  </si>
  <si>
    <t>IVA</t>
  </si>
  <si>
    <t>Totale</t>
  </si>
  <si>
    <t>StatoPagamento</t>
  </si>
  <si>
    <t>Consulente</t>
  </si>
  <si>
    <t>F-2025-0001</t>
  </si>
  <si>
    <t>F-2025-0002</t>
  </si>
  <si>
    <t>F-2025-0003</t>
  </si>
  <si>
    <t>F-2025-0004</t>
  </si>
  <si>
    <t>F-2025-0005</t>
  </si>
  <si>
    <t>F-2025-0006</t>
  </si>
  <si>
    <t>F-2025-0007</t>
  </si>
  <si>
    <t>F-2025-0008</t>
  </si>
  <si>
    <t>F-2025-0009</t>
  </si>
  <si>
    <t>F-2025-0010</t>
  </si>
  <si>
    <t>F-2025-0011</t>
  </si>
  <si>
    <t>F-2025-0012</t>
  </si>
  <si>
    <t>F-2025-0013</t>
  </si>
  <si>
    <t>F-2025-0014</t>
  </si>
  <si>
    <t>F-2025-0015</t>
  </si>
  <si>
    <t>F-2025-0016</t>
  </si>
  <si>
    <t>F-2025-0017</t>
  </si>
  <si>
    <t>F-2025-0018</t>
  </si>
  <si>
    <t>F-2025-0019</t>
  </si>
  <si>
    <t>F-2025-0020</t>
  </si>
  <si>
    <t>F-2025-0021</t>
  </si>
  <si>
    <t>F-2025-0022</t>
  </si>
  <si>
    <t>F-2025-0023</t>
  </si>
  <si>
    <t>F-2025-0024</t>
  </si>
  <si>
    <t>F-2025-0025</t>
  </si>
  <si>
    <t>F-2025-0026</t>
  </si>
  <si>
    <t>F-2025-0027</t>
  </si>
  <si>
    <t>F-2025-0028</t>
  </si>
  <si>
    <t>F-2025-0029</t>
  </si>
  <si>
    <t>F-2025-0030</t>
  </si>
  <si>
    <t>F-2025-0031</t>
  </si>
  <si>
    <t>F-2025-0032</t>
  </si>
  <si>
    <t>F-2025-0033</t>
  </si>
  <si>
    <t>F-2025-0034</t>
  </si>
  <si>
    <t>F-2025-0035</t>
  </si>
  <si>
    <t>F-2025-0036</t>
  </si>
  <si>
    <t>F-2025-0037</t>
  </si>
  <si>
    <t>F-2025-0038</t>
  </si>
  <si>
    <t>F-2025-0039</t>
  </si>
  <si>
    <t>F-2025-0040</t>
  </si>
  <si>
    <t>F-2025-0041</t>
  </si>
  <si>
    <t>F-2025-0042</t>
  </si>
  <si>
    <t>F-2025-0043</t>
  </si>
  <si>
    <t>F-2025-0044</t>
  </si>
  <si>
    <t>F-2025-0045</t>
  </si>
  <si>
    <t>F-2025-0046</t>
  </si>
  <si>
    <t>F-2025-0047</t>
  </si>
  <si>
    <t>F-2025-0048</t>
  </si>
  <si>
    <t>F-2025-0049</t>
  </si>
  <si>
    <t>F-2025-0050</t>
  </si>
  <si>
    <t>F-2025-0051</t>
  </si>
  <si>
    <t>F-2025-0052</t>
  </si>
  <si>
    <t>F-2025-0053</t>
  </si>
  <si>
    <t>F-2025-0054</t>
  </si>
  <si>
    <t>F-2025-0055</t>
  </si>
  <si>
    <t>F-2025-0056</t>
  </si>
  <si>
    <t>F-2025-0057</t>
  </si>
  <si>
    <t>F-2025-0058</t>
  </si>
  <si>
    <t>F-2025-0059</t>
  </si>
  <si>
    <t>F-2025-0060</t>
  </si>
  <si>
    <t>F-2025-0061</t>
  </si>
  <si>
    <t>F-2025-0062</t>
  </si>
  <si>
    <t>F-2025-0063</t>
  </si>
  <si>
    <t>F-2025-0064</t>
  </si>
  <si>
    <t>F-2025-0065</t>
  </si>
  <si>
    <t>F-2025-0066</t>
  </si>
  <si>
    <t>F-2025-0067</t>
  </si>
  <si>
    <t>F-2025-0068</t>
  </si>
  <si>
    <t>F-2025-0069</t>
  </si>
  <si>
    <t>F-2025-0070</t>
  </si>
  <si>
    <t>F-2025-0071</t>
  </si>
  <si>
    <t>F-2025-0072</t>
  </si>
  <si>
    <t>F-2025-0073</t>
  </si>
  <si>
    <t>F-2025-0074</t>
  </si>
  <si>
    <t>F-2025-0075</t>
  </si>
  <si>
    <t>F-2025-0076</t>
  </si>
  <si>
    <t>F-2025-0077</t>
  </si>
  <si>
    <t>F-2025-0078</t>
  </si>
  <si>
    <t>F-2025-0079</t>
  </si>
  <si>
    <t>F-2025-0080</t>
  </si>
  <si>
    <t>F-2025-0081</t>
  </si>
  <si>
    <t>F-2025-0082</t>
  </si>
  <si>
    <t>F-2025-0083</t>
  </si>
  <si>
    <t>F-2025-0084</t>
  </si>
  <si>
    <t>F-2025-0085</t>
  </si>
  <si>
    <t>F-2025-0086</t>
  </si>
  <si>
    <t>F-2025-0087</t>
  </si>
  <si>
    <t>F-2025-0088</t>
  </si>
  <si>
    <t>F-2025-0089</t>
  </si>
  <si>
    <t>F-2025-0090</t>
  </si>
  <si>
    <t>F-2025-0091</t>
  </si>
  <si>
    <t>F-2025-0092</t>
  </si>
  <si>
    <t>F-2025-0093</t>
  </si>
  <si>
    <t>F-2025-0094</t>
  </si>
  <si>
    <t>F-2025-0095</t>
  </si>
  <si>
    <t>F-2025-0096</t>
  </si>
  <si>
    <t>F-2025-0097</t>
  </si>
  <si>
    <t>F-2025-0098</t>
  </si>
  <si>
    <t>F-2025-0099</t>
  </si>
  <si>
    <t>F-2025-0100</t>
  </si>
  <si>
    <t>F-2025-0101</t>
  </si>
  <si>
    <t>F-2025-0102</t>
  </si>
  <si>
    <t>F-2025-0103</t>
  </si>
  <si>
    <t>F-2025-0104</t>
  </si>
  <si>
    <t>F-2025-0105</t>
  </si>
  <si>
    <t>F-2025-0106</t>
  </si>
  <si>
    <t>F-2025-0107</t>
  </si>
  <si>
    <t>F-2025-0108</t>
  </si>
  <si>
    <t>F-2025-0109</t>
  </si>
  <si>
    <t>F-2025-0110</t>
  </si>
  <si>
    <t>F-2025-0111</t>
  </si>
  <si>
    <t>F-2025-0112</t>
  </si>
  <si>
    <t>F-2025-0113</t>
  </si>
  <si>
    <t>F-2025-0114</t>
  </si>
  <si>
    <t>F-2025-0115</t>
  </si>
  <si>
    <t>F-2025-0116</t>
  </si>
  <si>
    <t>F-2025-0117</t>
  </si>
  <si>
    <t>F-2025-0118</t>
  </si>
  <si>
    <t>F-2025-0119</t>
  </si>
  <si>
    <t>F-2025-0120</t>
  </si>
  <si>
    <t>F-2025-0121</t>
  </si>
  <si>
    <t>F-2025-0122</t>
  </si>
  <si>
    <t>F-2025-0123</t>
  </si>
  <si>
    <t>F-2025-0124</t>
  </si>
  <si>
    <t>F-2025-0125</t>
  </si>
  <si>
    <t>F-2025-0126</t>
  </si>
  <si>
    <t>F-2025-0127</t>
  </si>
  <si>
    <t>F-2025-0128</t>
  </si>
  <si>
    <t>F-2025-0129</t>
  </si>
  <si>
    <t>F-2025-0130</t>
  </si>
  <si>
    <t>F-2025-0131</t>
  </si>
  <si>
    <t>F-2025-0132</t>
  </si>
  <si>
    <t>F-2025-0133</t>
  </si>
  <si>
    <t>F-2025-0134</t>
  </si>
  <si>
    <t>F-2025-0135</t>
  </si>
  <si>
    <t>F-2025-0136</t>
  </si>
  <si>
    <t>F-2025-0137</t>
  </si>
  <si>
    <t>F-2025-0138</t>
  </si>
  <si>
    <t>F-2025-0139</t>
  </si>
  <si>
    <t>F-2025-0140</t>
  </si>
  <si>
    <t>F-2025-0141</t>
  </si>
  <si>
    <t>F-2025-0142</t>
  </si>
  <si>
    <t>F-2025-0143</t>
  </si>
  <si>
    <t>F-2025-0144</t>
  </si>
  <si>
    <t>F-2025-0145</t>
  </si>
  <si>
    <t>F-2025-0146</t>
  </si>
  <si>
    <t>F-2025-0147</t>
  </si>
  <si>
    <t>F-2025-0148</t>
  </si>
  <si>
    <t>F-2025-0149</t>
  </si>
  <si>
    <t>F-2025-0150</t>
  </si>
  <si>
    <t>F-2025-0151</t>
  </si>
  <si>
    <t>F-2025-0152</t>
  </si>
  <si>
    <t>F-2025-0153</t>
  </si>
  <si>
    <t>F-2025-0154</t>
  </si>
  <si>
    <t>F-2025-0155</t>
  </si>
  <si>
    <t>F-2025-0156</t>
  </si>
  <si>
    <t>F-2025-0157</t>
  </si>
  <si>
    <t>F-2025-0158</t>
  </si>
  <si>
    <t>F-2025-0159</t>
  </si>
  <si>
    <t>F-2025-0160</t>
  </si>
  <si>
    <t>F-2025-0161</t>
  </si>
  <si>
    <t>F-2025-0162</t>
  </si>
  <si>
    <t>F-2025-0163</t>
  </si>
  <si>
    <t>F-2025-0164</t>
  </si>
  <si>
    <t>F-2025-0165</t>
  </si>
  <si>
    <t>F-2025-0166</t>
  </si>
  <si>
    <t>F-2025-0167</t>
  </si>
  <si>
    <t>F-2025-0168</t>
  </si>
  <si>
    <t>F-2025-0169</t>
  </si>
  <si>
    <t>F-2025-0170</t>
  </si>
  <si>
    <t>F-2025-0171</t>
  </si>
  <si>
    <t>F-2025-0172</t>
  </si>
  <si>
    <t>F-2025-0173</t>
  </si>
  <si>
    <t>F-2025-0174</t>
  </si>
  <si>
    <t>F-2025-0175</t>
  </si>
  <si>
    <t>F-2025-0176</t>
  </si>
  <si>
    <t>F-2025-0177</t>
  </si>
  <si>
    <t>F-2025-0178</t>
  </si>
  <si>
    <t>F-2025-0179</t>
  </si>
  <si>
    <t>F-2025-0180</t>
  </si>
  <si>
    <t>F-2025-0181</t>
  </si>
  <si>
    <t>F-2025-0182</t>
  </si>
  <si>
    <t>F-2025-0183</t>
  </si>
  <si>
    <t>F-2025-0184</t>
  </si>
  <si>
    <t>F-2025-0185</t>
  </si>
  <si>
    <t>F-2025-0186</t>
  </si>
  <si>
    <t>F-2025-0187</t>
  </si>
  <si>
    <t>F-2025-0188</t>
  </si>
  <si>
    <t>F-2025-0189</t>
  </si>
  <si>
    <t>F-2025-0190</t>
  </si>
  <si>
    <t>F-2025-0191</t>
  </si>
  <si>
    <t>F-2025-0192</t>
  </si>
  <si>
    <t>F-2025-0193</t>
  </si>
  <si>
    <t>F-2025-0194</t>
  </si>
  <si>
    <t>F-2025-0195</t>
  </si>
  <si>
    <t>F-2025-0196</t>
  </si>
  <si>
    <t>F-2025-0197</t>
  </si>
  <si>
    <t>F-2025-0198</t>
  </si>
  <si>
    <t>F-2025-0199</t>
  </si>
  <si>
    <t>F-2025-0200</t>
  </si>
  <si>
    <t>F-2025-0201</t>
  </si>
  <si>
    <t>F-2025-0202</t>
  </si>
  <si>
    <t>F-2025-0203</t>
  </si>
  <si>
    <t>F-2025-0204</t>
  </si>
  <si>
    <t>F-2025-0205</t>
  </si>
  <si>
    <t>F-2025-0206</t>
  </si>
  <si>
    <t>F-2025-0207</t>
  </si>
  <si>
    <t>F-2025-0208</t>
  </si>
  <si>
    <t>F-2025-0209</t>
  </si>
  <si>
    <t>F-2025-0210</t>
  </si>
  <si>
    <t>F-2025-0211</t>
  </si>
  <si>
    <t>F-2025-0212</t>
  </si>
  <si>
    <t>F-2025-0213</t>
  </si>
  <si>
    <t>F-2025-0214</t>
  </si>
  <si>
    <t>F-2025-0215</t>
  </si>
  <si>
    <t>F-2025-0216</t>
  </si>
  <si>
    <t>F-2025-0217</t>
  </si>
  <si>
    <t>F-2025-0218</t>
  </si>
  <si>
    <t>F-2025-0219</t>
  </si>
  <si>
    <t>F-2025-0220</t>
  </si>
  <si>
    <t>F-2025-0221</t>
  </si>
  <si>
    <t>F-2025-0222</t>
  </si>
  <si>
    <t>F-2025-0223</t>
  </si>
  <si>
    <t>F-2025-0224</t>
  </si>
  <si>
    <t>F-2025-0225</t>
  </si>
  <si>
    <t>F-2025-0226</t>
  </si>
  <si>
    <t>F-2025-0227</t>
  </si>
  <si>
    <t>F-2025-0228</t>
  </si>
  <si>
    <t>F-2025-0229</t>
  </si>
  <si>
    <t>F-2025-0230</t>
  </si>
  <si>
    <t>F-2025-0231</t>
  </si>
  <si>
    <t>F-2025-0232</t>
  </si>
  <si>
    <t>F-2025-0233</t>
  </si>
  <si>
    <t>F-2025-0234</t>
  </si>
  <si>
    <t>F-2025-0235</t>
  </si>
  <si>
    <t>F-2025-0236</t>
  </si>
  <si>
    <t>F-2025-0237</t>
  </si>
  <si>
    <t>F-2025-0238</t>
  </si>
  <si>
    <t>F-2025-0239</t>
  </si>
  <si>
    <t>F-2025-0240</t>
  </si>
  <si>
    <t>F-2025-0241</t>
  </si>
  <si>
    <t>F-2025-0242</t>
  </si>
  <si>
    <t>F-2025-0243</t>
  </si>
  <si>
    <t>F-2025-0244</t>
  </si>
  <si>
    <t>F-2025-0245</t>
  </si>
  <si>
    <t>F-2025-0246</t>
  </si>
  <si>
    <t>F-2025-0247</t>
  </si>
  <si>
    <t>F-2025-0248</t>
  </si>
  <si>
    <t>F-2025-0249</t>
  </si>
  <si>
    <t>F-2025-0250</t>
  </si>
  <si>
    <t>F-2025-0251</t>
  </si>
  <si>
    <t>F-2025-0252</t>
  </si>
  <si>
    <t>F-2025-0253</t>
  </si>
  <si>
    <t>F-2025-0254</t>
  </si>
  <si>
    <t>F-2025-0255</t>
  </si>
  <si>
    <t>F-2025-0256</t>
  </si>
  <si>
    <t>F-2025-0257</t>
  </si>
  <si>
    <t>F-2025-0258</t>
  </si>
  <si>
    <t>F-2025-0259</t>
  </si>
  <si>
    <t>F-2025-0260</t>
  </si>
  <si>
    <t>F-2025-0261</t>
  </si>
  <si>
    <t>F-2025-0262</t>
  </si>
  <si>
    <t>F-2025-0263</t>
  </si>
  <si>
    <t>F-2025-0264</t>
  </si>
  <si>
    <t>F-2025-0265</t>
  </si>
  <si>
    <t>F-2025-0266</t>
  </si>
  <si>
    <t>F-2025-0267</t>
  </si>
  <si>
    <t>F-2025-0268</t>
  </si>
  <si>
    <t>F-2025-0269</t>
  </si>
  <si>
    <t>F-2025-0270</t>
  </si>
  <si>
    <t>F-2025-0271</t>
  </si>
  <si>
    <t>F-2025-0272</t>
  </si>
  <si>
    <t>F-2025-0273</t>
  </si>
  <si>
    <t>F-2025-0274</t>
  </si>
  <si>
    <t>F-2025-0275</t>
  </si>
  <si>
    <t>F-2025-0276</t>
  </si>
  <si>
    <t>F-2025-0277</t>
  </si>
  <si>
    <t>F-2025-0278</t>
  </si>
  <si>
    <t>F-2025-0279</t>
  </si>
  <si>
    <t>F-2025-0280</t>
  </si>
  <si>
    <t>F-2025-0281</t>
  </si>
  <si>
    <t>F-2025-0282</t>
  </si>
  <si>
    <t>F-2025-0283</t>
  </si>
  <si>
    <t>F-2025-0284</t>
  </si>
  <si>
    <t>F-2025-0285</t>
  </si>
  <si>
    <t>F-2025-0286</t>
  </si>
  <si>
    <t>F-2025-0287</t>
  </si>
  <si>
    <t>F-2025-0288</t>
  </si>
  <si>
    <t>F-2025-0289</t>
  </si>
  <si>
    <t>F-2025-0290</t>
  </si>
  <si>
    <t>F-2025-0291</t>
  </si>
  <si>
    <t>F-2025-0292</t>
  </si>
  <si>
    <t>F-2025-0293</t>
  </si>
  <si>
    <t>F-2025-0294</t>
  </si>
  <si>
    <t>F-2025-0295</t>
  </si>
  <si>
    <t>F-2025-0296</t>
  </si>
  <si>
    <t>F-2025-0297</t>
  </si>
  <si>
    <t>F-2025-0298</t>
  </si>
  <si>
    <t>F-2025-0299</t>
  </si>
  <si>
    <t>F-2025-0300</t>
  </si>
  <si>
    <t>F-2025-0301</t>
  </si>
  <si>
    <t>F-2025-0302</t>
  </si>
  <si>
    <t>F-2025-0303</t>
  </si>
  <si>
    <t>F-2025-0304</t>
  </si>
  <si>
    <t>F-2025-0305</t>
  </si>
  <si>
    <t>F-2025-0306</t>
  </si>
  <si>
    <t>F-2025-0307</t>
  </si>
  <si>
    <t>F-2025-0308</t>
  </si>
  <si>
    <t>F-2025-0309</t>
  </si>
  <si>
    <t>F-2025-0310</t>
  </si>
  <si>
    <t>F-2025-0311</t>
  </si>
  <si>
    <t>F-2025-0312</t>
  </si>
  <si>
    <t>F-2025-0313</t>
  </si>
  <si>
    <t>F-2025-0314</t>
  </si>
  <si>
    <t>F-2025-0315</t>
  </si>
  <si>
    <t>F-2025-0316</t>
  </si>
  <si>
    <t>F-2025-0317</t>
  </si>
  <si>
    <t>F-2025-0318</t>
  </si>
  <si>
    <t>F-2025-0319</t>
  </si>
  <si>
    <t>F-2025-0320</t>
  </si>
  <si>
    <t>F-2025-0321</t>
  </si>
  <si>
    <t>F-2025-0322</t>
  </si>
  <si>
    <t>F-2025-0323</t>
  </si>
  <si>
    <t>F-2025-0324</t>
  </si>
  <si>
    <t>F-2025-0325</t>
  </si>
  <si>
    <t>F-2025-0326</t>
  </si>
  <si>
    <t>F-2025-0327</t>
  </si>
  <si>
    <t>F-2025-0328</t>
  </si>
  <si>
    <t>F-2025-0329</t>
  </si>
  <si>
    <t>F-2025-0330</t>
  </si>
  <si>
    <t>F-2025-0331</t>
  </si>
  <si>
    <t>F-2025-0332</t>
  </si>
  <si>
    <t>F-2025-0333</t>
  </si>
  <si>
    <t>F-2025-0334</t>
  </si>
  <si>
    <t>F-2025-0335</t>
  </si>
  <si>
    <t>F-2025-0336</t>
  </si>
  <si>
    <t>F-2025-0337</t>
  </si>
  <si>
    <t>F-2025-0338</t>
  </si>
  <si>
    <t>F-2025-0339</t>
  </si>
  <si>
    <t>F-2025-0340</t>
  </si>
  <si>
    <t>F-2025-0341</t>
  </si>
  <si>
    <t>F-2025-0342</t>
  </si>
  <si>
    <t>F-2025-0343</t>
  </si>
  <si>
    <t>F-2025-0344</t>
  </si>
  <si>
    <t>F-2025-0345</t>
  </si>
  <si>
    <t>F-2025-0346</t>
  </si>
  <si>
    <t>F-2025-0347</t>
  </si>
  <si>
    <t>F-2025-0348</t>
  </si>
  <si>
    <t>F-2025-0349</t>
  </si>
  <si>
    <t>F-2025-0350</t>
  </si>
  <si>
    <t>F-2025-0351</t>
  </si>
  <si>
    <t>F-2025-0352</t>
  </si>
  <si>
    <t>F-2025-0353</t>
  </si>
  <si>
    <t>F-2025-0354</t>
  </si>
  <si>
    <t>F-2025-0355</t>
  </si>
  <si>
    <t>F-2025-0356</t>
  </si>
  <si>
    <t>F-2025-0357</t>
  </si>
  <si>
    <t>F-2025-0358</t>
  </si>
  <si>
    <t>F-2025-0359</t>
  </si>
  <si>
    <t>F-2025-0360</t>
  </si>
  <si>
    <t>F-2025-0361</t>
  </si>
  <si>
    <t>F-2025-0362</t>
  </si>
  <si>
    <t>F-2025-0363</t>
  </si>
  <si>
    <t>F-2025-0364</t>
  </si>
  <si>
    <t>F-2025-0365</t>
  </si>
  <si>
    <t>F-2025-0366</t>
  </si>
  <si>
    <t>F-2025-0367</t>
  </si>
  <si>
    <t>F-2025-0368</t>
  </si>
  <si>
    <t>F-2025-0369</t>
  </si>
  <si>
    <t>F-2025-0370</t>
  </si>
  <si>
    <t>F-2025-0371</t>
  </si>
  <si>
    <t>F-2025-0372</t>
  </si>
  <si>
    <t>F-2025-0373</t>
  </si>
  <si>
    <t>F-2025-0374</t>
  </si>
  <si>
    <t>F-2025-0375</t>
  </si>
  <si>
    <t>F-2025-0376</t>
  </si>
  <si>
    <t>F-2025-0377</t>
  </si>
  <si>
    <t>F-2025-0378</t>
  </si>
  <si>
    <t>F-2025-0379</t>
  </si>
  <si>
    <t>F-2025-0380</t>
  </si>
  <si>
    <t>F-2025-0381</t>
  </si>
  <si>
    <t>F-2025-0382</t>
  </si>
  <si>
    <t>F-2025-0383</t>
  </si>
  <si>
    <t>F-2025-0384</t>
  </si>
  <si>
    <t>F-2025-0385</t>
  </si>
  <si>
    <t>F-2025-0386</t>
  </si>
  <si>
    <t>F-2025-0387</t>
  </si>
  <si>
    <t>F-2025-0388</t>
  </si>
  <si>
    <t>F-2025-0389</t>
  </si>
  <si>
    <t>F-2025-0390</t>
  </si>
  <si>
    <t>F-2025-0391</t>
  </si>
  <si>
    <t>F-2025-0392</t>
  </si>
  <si>
    <t>F-2025-0393</t>
  </si>
  <si>
    <t>F-2025-0394</t>
  </si>
  <si>
    <t>F-2025-0395</t>
  </si>
  <si>
    <t>F-2025-0396</t>
  </si>
  <si>
    <t>F-2025-0397</t>
  </si>
  <si>
    <t>F-2025-0398</t>
  </si>
  <si>
    <t>F-2025-0399</t>
  </si>
  <si>
    <t>F-2025-0400</t>
  </si>
  <si>
    <t>F-2025-0401</t>
  </si>
  <si>
    <t>F-2025-0402</t>
  </si>
  <si>
    <t>F-2025-0403</t>
  </si>
  <si>
    <t>F-2025-0404</t>
  </si>
  <si>
    <t>F-2025-0405</t>
  </si>
  <si>
    <t>F-2025-0406</t>
  </si>
  <si>
    <t>F-2025-0407</t>
  </si>
  <si>
    <t>F-2025-0408</t>
  </si>
  <si>
    <t>F-2025-0409</t>
  </si>
  <si>
    <t>F-2025-0410</t>
  </si>
  <si>
    <t>F-2025-0411</t>
  </si>
  <si>
    <t>F-2025-0412</t>
  </si>
  <si>
    <t>F-2025-0413</t>
  </si>
  <si>
    <t>F-2025-0414</t>
  </si>
  <si>
    <t>F-2025-0415</t>
  </si>
  <si>
    <t>F-2025-0416</t>
  </si>
  <si>
    <t>F-2025-0417</t>
  </si>
  <si>
    <t>F-2025-0418</t>
  </si>
  <si>
    <t>F-2025-0419</t>
  </si>
  <si>
    <t>F-2025-0420</t>
  </si>
  <si>
    <t>F-2025-0421</t>
  </si>
  <si>
    <t>F-2025-0422</t>
  </si>
  <si>
    <t>F-2025-0423</t>
  </si>
  <si>
    <t>F-2025-0424</t>
  </si>
  <si>
    <t>F-2025-0425</t>
  </si>
  <si>
    <t>F-2025-0426</t>
  </si>
  <si>
    <t>F-2025-0427</t>
  </si>
  <si>
    <t>F-2025-0428</t>
  </si>
  <si>
    <t>F-2025-0429</t>
  </si>
  <si>
    <t>F-2025-0430</t>
  </si>
  <si>
    <t>F-2025-0431</t>
  </si>
  <si>
    <t>F-2025-0432</t>
  </si>
  <si>
    <t>F-2025-0433</t>
  </si>
  <si>
    <t>F-2025-0434</t>
  </si>
  <si>
    <t>F-2025-0435</t>
  </si>
  <si>
    <t>F-2025-0436</t>
  </si>
  <si>
    <t>F-2025-0437</t>
  </si>
  <si>
    <t>F-2025-0438</t>
  </si>
  <si>
    <t>F-2025-0439</t>
  </si>
  <si>
    <t>F-2025-0440</t>
  </si>
  <si>
    <t>F-2025-0441</t>
  </si>
  <si>
    <t>F-2025-0442</t>
  </si>
  <si>
    <t>F-2025-0443</t>
  </si>
  <si>
    <t>F-2025-0444</t>
  </si>
  <si>
    <t>F-2025-0445</t>
  </si>
  <si>
    <t>F-2025-0446</t>
  </si>
  <si>
    <t>F-2025-0447</t>
  </si>
  <si>
    <t>F-2025-0448</t>
  </si>
  <si>
    <t>F-2025-0449</t>
  </si>
  <si>
    <t>F-2025-0450</t>
  </si>
  <si>
    <t>F-2025-0451</t>
  </si>
  <si>
    <t>F-2025-0452</t>
  </si>
  <si>
    <t>F-2025-0453</t>
  </si>
  <si>
    <t>F-2025-0454</t>
  </si>
  <si>
    <t>F-2025-0455</t>
  </si>
  <si>
    <t>F-2025-0456</t>
  </si>
  <si>
    <t>F-2025-0457</t>
  </si>
  <si>
    <t>F-2025-0458</t>
  </si>
  <si>
    <t>F-2025-0459</t>
  </si>
  <si>
    <t>F-2025-0460</t>
  </si>
  <si>
    <t>F-2025-0461</t>
  </si>
  <si>
    <t>F-2025-0462</t>
  </si>
  <si>
    <t>F-2025-0463</t>
  </si>
  <si>
    <t>F-2025-0464</t>
  </si>
  <si>
    <t>F-2025-0465</t>
  </si>
  <si>
    <t>F-2025-0466</t>
  </si>
  <si>
    <t>F-2025-0467</t>
  </si>
  <si>
    <t>F-2025-0468</t>
  </si>
  <si>
    <t>F-2025-0469</t>
  </si>
  <si>
    <t>F-2025-0470</t>
  </si>
  <si>
    <t>F-2025-0471</t>
  </si>
  <si>
    <t>F-2025-0472</t>
  </si>
  <si>
    <t>F-2025-0473</t>
  </si>
  <si>
    <t>F-2025-0474</t>
  </si>
  <si>
    <t>F-2025-0475</t>
  </si>
  <si>
    <t>F-2025-0476</t>
  </si>
  <si>
    <t>F-2025-0477</t>
  </si>
  <si>
    <t>F-2025-0478</t>
  </si>
  <si>
    <t>F-2025-0479</t>
  </si>
  <si>
    <t>F-2025-0480</t>
  </si>
  <si>
    <t>F-2025-0481</t>
  </si>
  <si>
    <t>F-2025-0482</t>
  </si>
  <si>
    <t>F-2025-0483</t>
  </si>
  <si>
    <t>F-2025-0484</t>
  </si>
  <si>
    <t>F-2025-0485</t>
  </si>
  <si>
    <t>F-2025-0486</t>
  </si>
  <si>
    <t>F-2025-0487</t>
  </si>
  <si>
    <t>F-2025-0488</t>
  </si>
  <si>
    <t>F-2025-0489</t>
  </si>
  <si>
    <t>F-2025-0490</t>
  </si>
  <si>
    <t>F-2025-0491</t>
  </si>
  <si>
    <t>F-2025-0492</t>
  </si>
  <si>
    <t>F-2025-0493</t>
  </si>
  <si>
    <t>F-2025-0494</t>
  </si>
  <si>
    <t>F-2025-0495</t>
  </si>
  <si>
    <t>F-2025-0496</t>
  </si>
  <si>
    <t>F-2025-0497</t>
  </si>
  <si>
    <t>F-2025-0498</t>
  </si>
  <si>
    <t>F-2025-0499</t>
  </si>
  <si>
    <t>F-2025-0500</t>
  </si>
  <si>
    <t>Manifatturiero</t>
  </si>
  <si>
    <t>Energia</t>
  </si>
  <si>
    <t>Pubblica Amministrazione</t>
  </si>
  <si>
    <t>Turismo</t>
  </si>
  <si>
    <t>Sanità</t>
  </si>
  <si>
    <t>Retail</t>
  </si>
  <si>
    <t>Finanza</t>
  </si>
  <si>
    <t>Tecnologia</t>
  </si>
  <si>
    <t>Costruzioni</t>
  </si>
  <si>
    <t>Piemonte</t>
  </si>
  <si>
    <t>Lombardia</t>
  </si>
  <si>
    <t>Emilia-Romagna</t>
  </si>
  <si>
    <t>Estero UE</t>
  </si>
  <si>
    <t>Lazio</t>
  </si>
  <si>
    <t>Puglia</t>
  </si>
  <si>
    <t>Estero Extra UE</t>
  </si>
  <si>
    <t>Campania</t>
  </si>
  <si>
    <t>Toscana</t>
  </si>
  <si>
    <t>Veneto</t>
  </si>
  <si>
    <t>Sicilia</t>
  </si>
  <si>
    <t>Compliance legale</t>
  </si>
  <si>
    <t>Consulenza fiscale</t>
  </si>
  <si>
    <t>Contenzioso</t>
  </si>
  <si>
    <t>Revisione contabile</t>
  </si>
  <si>
    <t>Due Diligence</t>
  </si>
  <si>
    <t>Supporto M&amp;A</t>
  </si>
  <si>
    <t>Transfer pricing</t>
  </si>
  <si>
    <t>Scaduto</t>
  </si>
  <si>
    <t>Pagato</t>
  </si>
  <si>
    <t>In sospeso</t>
  </si>
  <si>
    <t>Bianchi L.</t>
  </si>
  <si>
    <t>Ricci E.</t>
  </si>
  <si>
    <t>Gallo P.</t>
  </si>
  <si>
    <t>Verdi G.</t>
  </si>
  <si>
    <t>Conti S.</t>
  </si>
  <si>
    <t>Russo F.</t>
  </si>
  <si>
    <t>Rossi A.</t>
  </si>
  <si>
    <t>Ferrari M.</t>
  </si>
  <si>
    <t>Colombo D.</t>
  </si>
  <si>
    <t>Greco C.</t>
  </si>
  <si>
    <t>Row Labels</t>
  </si>
  <si>
    <t>Grand Total</t>
  </si>
  <si>
    <t>Sum of Ore_Preventivate</t>
  </si>
  <si>
    <t>Sum of Ore_Fatturate</t>
  </si>
  <si>
    <t>Sum of Scostamento Ore</t>
  </si>
  <si>
    <t xml:space="preserve">  Scostamento Ore</t>
  </si>
  <si>
    <t>Sum Ore Fatturate</t>
  </si>
  <si>
    <t>Sum Ore Preventivate</t>
  </si>
  <si>
    <t>Fatturato</t>
  </si>
  <si>
    <t>Tariffa Media in  €</t>
  </si>
  <si>
    <t>Qtr1</t>
  </si>
  <si>
    <t>Qtr2</t>
  </si>
  <si>
    <t>Qtr3</t>
  </si>
  <si>
    <t>Qtr4</t>
  </si>
  <si>
    <t>Column Labels</t>
  </si>
  <si>
    <t xml:space="preserve">If </t>
  </si>
  <si>
    <t>Yes</t>
  </si>
  <si>
    <t>No</t>
  </si>
  <si>
    <t>ANSWER</t>
  </si>
  <si>
    <t>RESPONSE</t>
  </si>
  <si>
    <t>RESONSE ALTERNATIVE</t>
  </si>
  <si>
    <t>Total % totale trimestre</t>
  </si>
  <si>
    <t>% totale trimestre</t>
  </si>
  <si>
    <t>Scaduto &gt;  20% di Totale Fatturato</t>
  </si>
  <si>
    <t>Scaduto &lt;  20% di Totale Fatturato</t>
  </si>
  <si>
    <t>Total Somma Fatturato</t>
  </si>
  <si>
    <t>Somma Fatturato</t>
  </si>
  <si>
    <t>2024</t>
  </si>
  <si>
    <t>2025</t>
  </si>
  <si>
    <t>20% del totale del trimestre</t>
  </si>
  <si>
    <t>Trimestre con% di "Scaduto" più alta</t>
  </si>
  <si>
    <t>Qtr2 del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</si>
</sst>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0" fontId="0" fillId="3" borderId="0" xfId="0" applyFill="1"/>
    <xf numFmtId="10" fontId="0" fillId="3" borderId="0" xfId="0" applyNumberFormat="1" applyFill="1"/>
    <xf numFmtId="0" fontId="0" fillId="4" borderId="0" xfId="0" applyFill="1"/>
    <xf numFmtId="10" fontId="0" fillId="4" borderId="0" xfId="0" applyNumberFormat="1" applyFill="1"/>
    <xf numFmtId="10" fontId="0" fillId="5" borderId="0" xfId="0" applyNumberFormat="1" applyFill="1"/>
    <xf numFmtId="0" fontId="0" fillId="0" borderId="0" xfId="0" applyAlignment="1">
      <alignment horizontal="left" indent="1"/>
    </xf>
    <xf numFmtId="0" fontId="0" fillId="5" borderId="0" xfId="0" applyFill="1"/>
    <xf numFmtId="0" fontId="0" fillId="5" borderId="0" xfId="0" applyFill="1" applyAlignment="1">
      <alignment horizontal="left" indent="1"/>
    </xf>
    <xf numFmtId="0" fontId="0" fillId="6" borderId="0" xfId="0" applyFill="1" applyAlignment="1">
      <alignment horizontal="left" indent="1"/>
    </xf>
    <xf numFmtId="0" fontId="0" fillId="6" borderId="0" xfId="0" applyFill="1"/>
    <xf numFmtId="10" fontId="0" fillId="6" borderId="0" xfId="0" applyNumberFormat="1" applyFill="1"/>
    <xf numFmtId="0" fontId="1" fillId="7" borderId="0" xfId="0" applyFont="1" applyFill="1"/>
    <xf numFmtId="0" fontId="0" fillId="7" borderId="0" xfId="0" applyFill="1"/>
    <xf numFmtId="10" fontId="0" fillId="7" borderId="0" xfId="0" applyNumberFormat="1" applyFill="1"/>
    <xf numFmtId="2" fontId="0" fillId="7" borderId="0" xfId="0" applyNumberFormat="1" applyFill="1"/>
    <xf numFmtId="9" fontId="1" fillId="7" borderId="0" xfId="0" applyNumberFormat="1" applyFont="1" applyFill="1"/>
  </cellXfs>
  <cellStyles count="1"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[3 -Dataset Pivot Charts.xlsx]Sheet1!PivotTable3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Ore Preventivate</a:t>
            </a:r>
            <a:r>
              <a:rPr lang="it-IT" baseline="0"/>
              <a:t> vs Ore Fatturate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Sum Ore Preventivate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7"/>
                <c:pt idx="0">
                  <c:v>Revisione contabile</c:v>
                </c:pt>
                <c:pt idx="1">
                  <c:v>Consulenza fiscale</c:v>
                </c:pt>
                <c:pt idx="2">
                  <c:v>Contenzioso</c:v>
                </c:pt>
                <c:pt idx="3">
                  <c:v>Supporto M&amp;A</c:v>
                </c:pt>
                <c:pt idx="4">
                  <c:v>Transfer pricing</c:v>
                </c:pt>
                <c:pt idx="5">
                  <c:v>Compliance legale</c:v>
                </c:pt>
                <c:pt idx="6">
                  <c:v>Due Diligence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7"/>
                <c:pt idx="0">
                  <c:v>3245</c:v>
                </c:pt>
                <c:pt idx="1">
                  <c:v>2513</c:v>
                </c:pt>
                <c:pt idx="2">
                  <c:v>2538</c:v>
                </c:pt>
                <c:pt idx="3">
                  <c:v>2891</c:v>
                </c:pt>
                <c:pt idx="4">
                  <c:v>2776</c:v>
                </c:pt>
                <c:pt idx="5">
                  <c:v>2657</c:v>
                </c:pt>
                <c:pt idx="6">
                  <c:v>2715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1-471E-9F4B-BB5CCCC92F2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Sum Ore Fatturate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7"/>
                <c:pt idx="0">
                  <c:v>Revisione contabile</c:v>
                </c:pt>
                <c:pt idx="1">
                  <c:v>Consulenza fiscale</c:v>
                </c:pt>
                <c:pt idx="2">
                  <c:v>Contenzioso</c:v>
                </c:pt>
                <c:pt idx="3">
                  <c:v>Supporto M&amp;A</c:v>
                </c:pt>
                <c:pt idx="4">
                  <c:v>Transfer pricing</c:v>
                </c:pt>
                <c:pt idx="5">
                  <c:v>Compliance legale</c:v>
                </c:pt>
                <c:pt idx="6">
                  <c:v>Due Diligence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7"/>
                <c:pt idx="0">
                  <c:v>3352</c:v>
                </c:pt>
                <c:pt idx="1">
                  <c:v>2559</c:v>
                </c:pt>
                <c:pt idx="2">
                  <c:v>2583</c:v>
                </c:pt>
                <c:pt idx="3">
                  <c:v>2891</c:v>
                </c:pt>
                <c:pt idx="4">
                  <c:v>2758</c:v>
                </c:pt>
                <c:pt idx="5">
                  <c:v>2628</c:v>
                </c:pt>
                <c:pt idx="6">
                  <c:v>2673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51-471E-9F4B-BB5CCCC92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8516367"/>
        <c:axId val="1408517327"/>
      </c:barChart>
      <c:lineChart>
        <c:grouping val="standard"/>
        <c:varyColors val="0"/>
        <c:ser>
          <c:idx val="2"/>
          <c:order val="2"/>
          <c:tx>
            <c:strRef>
              <c:f>Sheet1!$D$1</c:f>
              <c:strCache>
                <c:ptCount val="1"/>
                <c:pt idx="0">
                  <c:v>  Scostamento 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Sheet1!$A$2:$A$9</c:f>
              <c:strCache>
                <c:ptCount val="7"/>
                <c:pt idx="0">
                  <c:v>Revisione contabile</c:v>
                </c:pt>
                <c:pt idx="1">
                  <c:v>Consulenza fiscale</c:v>
                </c:pt>
                <c:pt idx="2">
                  <c:v>Contenzioso</c:v>
                </c:pt>
                <c:pt idx="3">
                  <c:v>Supporto M&amp;A</c:v>
                </c:pt>
                <c:pt idx="4">
                  <c:v>Transfer pricing</c:v>
                </c:pt>
                <c:pt idx="5">
                  <c:v>Compliance legale</c:v>
                </c:pt>
                <c:pt idx="6">
                  <c:v>Due Diligence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7"/>
                <c:pt idx="0">
                  <c:v>107</c:v>
                </c:pt>
                <c:pt idx="1">
                  <c:v>46</c:v>
                </c:pt>
                <c:pt idx="2">
                  <c:v>45</c:v>
                </c:pt>
                <c:pt idx="3">
                  <c:v>0</c:v>
                </c:pt>
                <c:pt idx="4">
                  <c:v>-18</c:v>
                </c:pt>
                <c:pt idx="5">
                  <c:v>-29</c:v>
                </c:pt>
                <c:pt idx="6">
                  <c:v>-42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51-471E-9F4B-BB5CCCC92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357503"/>
        <c:axId val="1251358943"/>
      </c:lineChart>
      <c:catAx>
        <c:axId val="1408516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8517327"/>
        <c:crosses val="autoZero"/>
        <c:auto val="1"/>
        <c:lblAlgn val="ctr"/>
        <c:lblOffset val="100"/>
        <c:noMultiLvlLbl val="0"/>
      </c:catAx>
      <c:valAx>
        <c:axId val="1408517327"/>
        <c:scaling>
          <c:orientation val="minMax"/>
        </c:scaling>
        <c:delete val="0"/>
        <c:axPos val="l"/>
        <c:majorGridlines>
          <c:spPr>
            <a:ln w="9525" cap="flat" cmpd="sng" algn="ctr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49000">
                    <a:schemeClr val="accent1">
                      <a:lumMod val="45000"/>
                      <a:lumOff val="55000"/>
                    </a:schemeClr>
                  </a:gs>
                  <a:gs pos="69000">
                    <a:schemeClr val="accent1">
                      <a:lumMod val="45000"/>
                      <a:lumOff val="55000"/>
                    </a:schemeClr>
                  </a:gs>
                  <a:gs pos="85000">
                    <a:schemeClr val="accent1">
                      <a:lumMod val="30000"/>
                      <a:lumOff val="70000"/>
                    </a:schemeClr>
                  </a:gs>
                </a:gsLst>
                <a:lin ang="16200000" scaled="1"/>
                <a:tileRect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Ore</a:t>
                </a:r>
              </a:p>
            </c:rich>
          </c:tx>
          <c:layout>
            <c:manualLayout>
              <c:xMode val="edge"/>
              <c:yMode val="edge"/>
              <c:x val="2.0694046482012098E-2"/>
              <c:y val="0.542013856263193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8516367"/>
        <c:crosses val="autoZero"/>
        <c:crossBetween val="between"/>
      </c:valAx>
      <c:valAx>
        <c:axId val="12513589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Scostamento</a:t>
                </a:r>
                <a:r>
                  <a:rPr lang="it-IT" baseline="0"/>
                  <a:t> 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51357503"/>
        <c:crosses val="max"/>
        <c:crossBetween val="between"/>
      </c:valAx>
      <c:catAx>
        <c:axId val="125135750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251358943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[3 -Dataset Pivot Charts.xlsx]Sheet2!PivotTable3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Ore Preventivate</a:t>
            </a:r>
            <a:r>
              <a:rPr lang="it-IT" baseline="0"/>
              <a:t> vs Ore Fatturate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Fatturato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Sheet2!$A$2:$A$12</c:f>
              <c:strCache>
                <c:ptCount val="10"/>
                <c:pt idx="0">
                  <c:v>Colombo D.</c:v>
                </c:pt>
                <c:pt idx="1">
                  <c:v>Ricci E.</c:v>
                </c:pt>
                <c:pt idx="2">
                  <c:v>Bianchi L.</c:v>
                </c:pt>
                <c:pt idx="3">
                  <c:v>Greco C.</c:v>
                </c:pt>
                <c:pt idx="4">
                  <c:v>Gallo P.</c:v>
                </c:pt>
                <c:pt idx="5">
                  <c:v>Ferrari M.</c:v>
                </c:pt>
                <c:pt idx="6">
                  <c:v>Verdi G.</c:v>
                </c:pt>
                <c:pt idx="7">
                  <c:v>Russo F.</c:v>
                </c:pt>
                <c:pt idx="8">
                  <c:v>Rossi A.</c:v>
                </c:pt>
                <c:pt idx="9">
                  <c:v>Conti S.</c:v>
                </c:pt>
              </c:strCache>
            </c:strRef>
          </c:cat>
          <c:val>
            <c:numRef>
              <c:f>Sheet2!$B$2:$B$12</c:f>
              <c:numCache>
                <c:formatCode>General</c:formatCode>
                <c:ptCount val="10"/>
                <c:pt idx="0">
                  <c:v>501396.89999999985</c:v>
                </c:pt>
                <c:pt idx="1">
                  <c:v>490495.32000000007</c:v>
                </c:pt>
                <c:pt idx="2">
                  <c:v>447914.97999999992</c:v>
                </c:pt>
                <c:pt idx="3">
                  <c:v>441255.82</c:v>
                </c:pt>
                <c:pt idx="4">
                  <c:v>401397.6</c:v>
                </c:pt>
                <c:pt idx="5">
                  <c:v>387199.20000000007</c:v>
                </c:pt>
                <c:pt idx="6">
                  <c:v>382004.66</c:v>
                </c:pt>
                <c:pt idx="7">
                  <c:v>367785.3000000001</c:v>
                </c:pt>
                <c:pt idx="8">
                  <c:v>356508.37999999995</c:v>
                </c:pt>
                <c:pt idx="9">
                  <c:v>333771.15999999992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70-41D3-9D27-8C00D09C9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08516367"/>
        <c:axId val="1408517327"/>
      </c:barChart>
      <c:lineChart>
        <c:grouping val="standard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Tariffa Media in  €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Sheet2!$A$2:$A$12</c:f>
              <c:strCache>
                <c:ptCount val="10"/>
                <c:pt idx="0">
                  <c:v>Colombo D.</c:v>
                </c:pt>
                <c:pt idx="1">
                  <c:v>Ricci E.</c:v>
                </c:pt>
                <c:pt idx="2">
                  <c:v>Bianchi L.</c:v>
                </c:pt>
                <c:pt idx="3">
                  <c:v>Greco C.</c:v>
                </c:pt>
                <c:pt idx="4">
                  <c:v>Gallo P.</c:v>
                </c:pt>
                <c:pt idx="5">
                  <c:v>Ferrari M.</c:v>
                </c:pt>
                <c:pt idx="6">
                  <c:v>Verdi G.</c:v>
                </c:pt>
                <c:pt idx="7">
                  <c:v>Russo F.</c:v>
                </c:pt>
                <c:pt idx="8">
                  <c:v>Rossi A.</c:v>
                </c:pt>
                <c:pt idx="9">
                  <c:v>Conti S.</c:v>
                </c:pt>
              </c:strCache>
            </c:strRef>
          </c:cat>
          <c:val>
            <c:numRef>
              <c:f>Sheet2!$C$2:$C$12</c:f>
              <c:numCache>
                <c:formatCode>General</c:formatCode>
                <c:ptCount val="10"/>
                <c:pt idx="0">
                  <c:v>190.4</c:v>
                </c:pt>
                <c:pt idx="1">
                  <c:v>189.35185185185185</c:v>
                </c:pt>
                <c:pt idx="2">
                  <c:v>178.37037037037038</c:v>
                </c:pt>
                <c:pt idx="3">
                  <c:v>182.65454545454546</c:v>
                </c:pt>
                <c:pt idx="4">
                  <c:v>180.52941176470588</c:v>
                </c:pt>
                <c:pt idx="5">
                  <c:v>188.75</c:v>
                </c:pt>
                <c:pt idx="6">
                  <c:v>170.12962962962962</c:v>
                </c:pt>
                <c:pt idx="7">
                  <c:v>176.09756097560975</c:v>
                </c:pt>
                <c:pt idx="8">
                  <c:v>178.4</c:v>
                </c:pt>
                <c:pt idx="9">
                  <c:v>176.19148936170214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70-41D3-9D27-8C00D09C9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383759"/>
        <c:axId val="1392299599"/>
      </c:lineChart>
      <c:catAx>
        <c:axId val="1408516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8517327"/>
        <c:crosses val="autoZero"/>
        <c:auto val="1"/>
        <c:lblAlgn val="ctr"/>
        <c:lblOffset val="100"/>
        <c:noMultiLvlLbl val="0"/>
      </c:catAx>
      <c:valAx>
        <c:axId val="1408517327"/>
        <c:scaling>
          <c:orientation val="minMax"/>
        </c:scaling>
        <c:delete val="0"/>
        <c:axPos val="l"/>
        <c:majorGridlines>
          <c:spPr>
            <a:ln w="9525" cap="flat" cmpd="sng" algn="ctr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49000">
                    <a:schemeClr val="accent1">
                      <a:lumMod val="45000"/>
                      <a:lumOff val="55000"/>
                    </a:schemeClr>
                  </a:gs>
                  <a:gs pos="69000">
                    <a:schemeClr val="accent1">
                      <a:lumMod val="45000"/>
                      <a:lumOff val="55000"/>
                    </a:schemeClr>
                  </a:gs>
                  <a:gs pos="85000">
                    <a:schemeClr val="accent1">
                      <a:lumMod val="30000"/>
                      <a:lumOff val="70000"/>
                    </a:schemeClr>
                  </a:gs>
                </a:gsLst>
                <a:lin ang="16200000" scaled="1"/>
                <a:tileRect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8516367"/>
        <c:crosses val="autoZero"/>
        <c:crossBetween val="between"/>
      </c:valAx>
      <c:valAx>
        <c:axId val="139229959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45383759"/>
        <c:crosses val="max"/>
        <c:crossBetween val="between"/>
      </c:valAx>
      <c:catAx>
        <c:axId val="14453837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22995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[3 -Dataset Pivot Charts.xlsx]Sheet3!PivotTable5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Sheet3!$B$1:$B$3</c:f>
              <c:strCache>
                <c:ptCount val="1"/>
                <c:pt idx="0">
                  <c:v>In sospeso - Somma Fatturato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Sheet3!$A$4:$A$12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Sheet3!$B$4:$B$12</c:f>
              <c:numCache>
                <c:formatCode>General</c:formatCode>
                <c:ptCount val="6"/>
                <c:pt idx="0">
                  <c:v>172646.18000000002</c:v>
                </c:pt>
                <c:pt idx="1">
                  <c:v>131035.07999999999</c:v>
                </c:pt>
                <c:pt idx="2">
                  <c:v>249326.44000000003</c:v>
                </c:pt>
                <c:pt idx="3">
                  <c:v>211545.26000000004</c:v>
                </c:pt>
                <c:pt idx="4">
                  <c:v>313241.71999999997</c:v>
                </c:pt>
                <c:pt idx="5">
                  <c:v>195577.74000000005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E-4D95-BC14-1A33452DDDBD}"/>
            </c:ext>
          </c:extLst>
        </c:ser>
        <c:ser>
          <c:idx val="1"/>
          <c:order val="1"/>
          <c:tx>
            <c:strRef>
              <c:f>Sheet3!$C$1:$C$3</c:f>
              <c:strCache>
                <c:ptCount val="1"/>
                <c:pt idx="0">
                  <c:v>In sospeso - % totale trimestre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Sheet3!$A$4:$A$12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Sheet3!$C$4:$C$12</c:f>
              <c:numCache>
                <c:formatCode>0.00%</c:formatCode>
                <c:ptCount val="6"/>
                <c:pt idx="0">
                  <c:v>0.24782975141917793</c:v>
                </c:pt>
                <c:pt idx="1">
                  <c:v>0.23315036581818974</c:v>
                </c:pt>
                <c:pt idx="2">
                  <c:v>0.35390041784493215</c:v>
                </c:pt>
                <c:pt idx="3">
                  <c:v>0.32212257694212137</c:v>
                </c:pt>
                <c:pt idx="4">
                  <c:v>0.36105445764948058</c:v>
                </c:pt>
                <c:pt idx="5">
                  <c:v>0.31429734543753685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5E-4D95-BC14-1A33452DDDBD}"/>
            </c:ext>
          </c:extLst>
        </c:ser>
        <c:ser>
          <c:idx val="2"/>
          <c:order val="2"/>
          <c:tx>
            <c:strRef>
              <c:f>Sheet3!$D$1:$D$3</c:f>
              <c:strCache>
                <c:ptCount val="1"/>
                <c:pt idx="0">
                  <c:v>Pagato - Somma Fatturato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Sheet3!$A$4:$A$12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Sheet3!$D$4:$D$12</c:f>
              <c:numCache>
                <c:formatCode>General</c:formatCode>
                <c:ptCount val="6"/>
                <c:pt idx="0">
                  <c:v>277971.36</c:v>
                </c:pt>
                <c:pt idx="1">
                  <c:v>184610.18</c:v>
                </c:pt>
                <c:pt idx="2">
                  <c:v>234165.21999999997</c:v>
                </c:pt>
                <c:pt idx="3">
                  <c:v>205760.7</c:v>
                </c:pt>
                <c:pt idx="4">
                  <c:v>285270.99999999994</c:v>
                </c:pt>
                <c:pt idx="5">
                  <c:v>206211.23999999996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C6-4F40-B2E6-C43A0268FF8C}"/>
            </c:ext>
          </c:extLst>
        </c:ser>
        <c:ser>
          <c:idx val="3"/>
          <c:order val="3"/>
          <c:tx>
            <c:strRef>
              <c:f>Sheet3!$E$1:$E$3</c:f>
              <c:strCache>
                <c:ptCount val="1"/>
                <c:pt idx="0">
                  <c:v>Pagato - % totale trimestre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Sheet3!$A$4:$A$12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Sheet3!$E$4:$E$12</c:f>
              <c:numCache>
                <c:formatCode>0.00%</c:formatCode>
                <c:ptCount val="6"/>
                <c:pt idx="0">
                  <c:v>0.39902170468208914</c:v>
                </c:pt>
                <c:pt idx="1">
                  <c:v>0.32847639731865585</c:v>
                </c:pt>
                <c:pt idx="2">
                  <c:v>0.3323801888109037</c:v>
                </c:pt>
                <c:pt idx="3">
                  <c:v>0.31331435607403707</c:v>
                </c:pt>
                <c:pt idx="4">
                  <c:v>0.32881432967525837</c:v>
                </c:pt>
                <c:pt idx="5">
                  <c:v>0.33138559291759268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C6-4F40-B2E6-C43A0268FF8C}"/>
            </c:ext>
          </c:extLst>
        </c:ser>
        <c:ser>
          <c:idx val="4"/>
          <c:order val="4"/>
          <c:tx>
            <c:strRef>
              <c:f>Sheet3!$F$1:$F$3</c:f>
              <c:strCache>
                <c:ptCount val="1"/>
                <c:pt idx="0">
                  <c:v>Scaduto - Somma Fatturato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Sheet3!$A$4:$A$12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Sheet3!$F$4:$F$12</c:f>
              <c:numCache>
                <c:formatCode>General</c:formatCode>
                <c:ptCount val="6"/>
                <c:pt idx="0">
                  <c:v>246014.63999999998</c:v>
                </c:pt>
                <c:pt idx="1">
                  <c:v>246374.36</c:v>
                </c:pt>
                <c:pt idx="2">
                  <c:v>221018.50000000003</c:v>
                </c:pt>
                <c:pt idx="3">
                  <c:v>239416.9</c:v>
                </c:pt>
                <c:pt idx="4">
                  <c:v>269062</c:v>
                </c:pt>
                <c:pt idx="5">
                  <c:v>220480.8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2C6-4F40-B2E6-C43A0268FF8C}"/>
            </c:ext>
          </c:extLst>
        </c:ser>
        <c:ser>
          <c:idx val="5"/>
          <c:order val="5"/>
          <c:tx>
            <c:strRef>
              <c:f>Sheet3!$G$1:$G$3</c:f>
              <c:strCache>
                <c:ptCount val="1"/>
                <c:pt idx="0">
                  <c:v>Scaduto - % totale trimestre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Sheet3!$A$4:$A$12</c:f>
              <c:multiLvlStrCache>
                <c:ptCount val="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Sheet3!$G$4:$G$12</c:f>
              <c:numCache>
                <c:formatCode>0.00%</c:formatCode>
                <c:ptCount val="6"/>
                <c:pt idx="0">
                  <c:v>0.35314854389873285</c:v>
                </c:pt>
                <c:pt idx="1">
                  <c:v>0.43837323686315433</c:v>
                </c:pt>
                <c:pt idx="2">
                  <c:v>0.31371939334416415</c:v>
                </c:pt>
                <c:pt idx="3">
                  <c:v>0.3645630669838415</c:v>
                </c:pt>
                <c:pt idx="4">
                  <c:v>0.310131212675261</c:v>
                </c:pt>
                <c:pt idx="5">
                  <c:v>0.35431706164487048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C6-4F40-B2E6-C43A0268F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24117120"/>
        <c:axId val="1124116640"/>
      </c:barChart>
      <c:catAx>
        <c:axId val="112411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4116640"/>
        <c:crosses val="autoZero"/>
        <c:auto val="1"/>
        <c:lblAlgn val="ctr"/>
        <c:lblOffset val="100"/>
        <c:noMultiLvlLbl val="0"/>
      </c:catAx>
      <c:valAx>
        <c:axId val="11241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411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22859</xdr:colOff>
      <xdr:row>10</xdr:row>
      <xdr:rowOff>38100</xdr:rowOff>
    </xdr:from>
    <xdr:to>
      <xdr:col>11</xdr:col>
      <xdr:colOff>457695</xdr:colOff>
      <xdr:row>34</xdr:row>
      <xdr:rowOff>61851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63F58C-6BDB-650A-45DD-8FA6B3D50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1487286</xdr:colOff>
      <xdr:row>6</xdr:row>
      <xdr:rowOff>179687</xdr:rowOff>
    </xdr:from>
    <xdr:to>
      <xdr:col>18</xdr:col>
      <xdr:colOff>571500</xdr:colOff>
      <xdr:row>29</xdr:row>
      <xdr:rowOff>144063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BA588-B5D3-4B57-8B4D-8FD946C97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1410320</xdr:colOff>
      <xdr:row>14</xdr:row>
      <xdr:rowOff>2391</xdr:rowOff>
    </xdr:from>
    <xdr:to>
      <xdr:col>18</xdr:col>
      <xdr:colOff>472351</xdr:colOff>
      <xdr:row>42</xdr:row>
      <xdr:rowOff>153153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283BB7-DA13-798E-8D6E-4B09F3D3E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a Valenti" refreshedDate="46135.354083217593" createdVersion="8" refreshedVersion="8" minRefreshableVersion="3" recordCount="500" xr:uid="{DD78F9E8-50A0-4AF9-AC83-4EB2FEBED905}">
  <cacheSource type="worksheet">
    <worksheetSource ref="A1:N501" sheet="DS_Consulenze_RAW"/>
  </cacheSource>
  <cacheFields count="18">
    <cacheField name="ID_Fattura" numFmtId="0">
      <sharedItems/>
    </cacheField>
    <cacheField name="Data" numFmtId="14">
      <sharedItems containsSemiMixedTypes="0" containsNonDate="0" containsDate="1" containsString="0" minDate="2024-01-02T00:00:00" maxDate="2025-06-29T00:00:00" count="327">
        <d v="2024-04-24T00:00:00"/>
        <d v="2024-03-30T00:00:00"/>
        <d v="2024-01-28T00:00:00"/>
        <d v="2024-08-13T00:00:00"/>
        <d v="2025-03-08T00:00:00"/>
        <d v="2024-04-04T00:00:00"/>
        <d v="2024-02-14T00:00:00"/>
        <d v="2024-10-27T00:00:00"/>
        <d v="2024-02-16T00:00:00"/>
        <d v="2024-10-11T00:00:00"/>
        <d v="2025-01-14T00:00:00"/>
        <d v="2024-06-24T00:00:00"/>
        <d v="2024-08-12T00:00:00"/>
        <d v="2024-10-01T00:00:00"/>
        <d v="2025-05-26T00:00:00"/>
        <d v="2024-05-22T00:00:00"/>
        <d v="2025-02-12T00:00:00"/>
        <d v="2024-04-22T00:00:00"/>
        <d v="2024-03-06T00:00:00"/>
        <d v="2024-01-12T00:00:00"/>
        <d v="2025-05-27T00:00:00"/>
        <d v="2024-07-22T00:00:00"/>
        <d v="2024-11-27T00:00:00"/>
        <d v="2024-02-29T00:00:00"/>
        <d v="2024-03-11T00:00:00"/>
        <d v="2024-09-28T00:00:00"/>
        <d v="2024-07-24T00:00:00"/>
        <d v="2025-04-07T00:00:00"/>
        <d v="2024-08-23T00:00:00"/>
        <d v="2024-03-10T00:00:00"/>
        <d v="2024-08-07T00:00:00"/>
        <d v="2025-04-29T00:00:00"/>
        <d v="2025-03-17T00:00:00"/>
        <d v="2024-04-10T00:00:00"/>
        <d v="2024-07-15T00:00:00"/>
        <d v="2025-04-18T00:00:00"/>
        <d v="2024-02-21T00:00:00"/>
        <d v="2025-02-20T00:00:00"/>
        <d v="2025-01-23T00:00:00"/>
        <d v="2025-03-09T00:00:00"/>
        <d v="2024-07-13T00:00:00"/>
        <d v="2024-11-17T00:00:00"/>
        <d v="2024-02-28T00:00:00"/>
        <d v="2024-08-28T00:00:00"/>
        <d v="2024-03-24T00:00:00"/>
        <d v="2024-11-19T00:00:00"/>
        <d v="2025-02-09T00:00:00"/>
        <d v="2024-03-16T00:00:00"/>
        <d v="2024-09-07T00:00:00"/>
        <d v="2025-06-25T00:00:00"/>
        <d v="2024-04-16T00:00:00"/>
        <d v="2024-06-08T00:00:00"/>
        <d v="2024-09-27T00:00:00"/>
        <d v="2024-06-14T00:00:00"/>
        <d v="2024-03-18T00:00:00"/>
        <d v="2024-05-31T00:00:00"/>
        <d v="2024-08-03T00:00:00"/>
        <d v="2024-01-26T00:00:00"/>
        <d v="2024-09-30T00:00:00"/>
        <d v="2024-07-23T00:00:00"/>
        <d v="2024-01-25T00:00:00"/>
        <d v="2024-12-25T00:00:00"/>
        <d v="2024-01-29T00:00:00"/>
        <d v="2024-04-21T00:00:00"/>
        <d v="2025-06-07T00:00:00"/>
        <d v="2024-01-02T00:00:00"/>
        <d v="2025-01-07T00:00:00"/>
        <d v="2024-05-07T00:00:00"/>
        <d v="2024-10-29T00:00:00"/>
        <d v="2024-11-04T00:00:00"/>
        <d v="2025-03-16T00:00:00"/>
        <d v="2024-12-09T00:00:00"/>
        <d v="2025-02-28T00:00:00"/>
        <d v="2024-04-19T00:00:00"/>
        <d v="2025-04-20T00:00:00"/>
        <d v="2024-05-16T00:00:00"/>
        <d v="2024-11-20T00:00:00"/>
        <d v="2025-03-12T00:00:00"/>
        <d v="2024-09-22T00:00:00"/>
        <d v="2024-09-01T00:00:00"/>
        <d v="2024-06-05T00:00:00"/>
        <d v="2025-03-01T00:00:00"/>
        <d v="2025-01-24T00:00:00"/>
        <d v="2024-12-10T00:00:00"/>
        <d v="2024-03-26T00:00:00"/>
        <d v="2025-03-07T00:00:00"/>
        <d v="2024-12-24T00:00:00"/>
        <d v="2024-02-01T00:00:00"/>
        <d v="2024-05-09T00:00:00"/>
        <d v="2025-04-21T00:00:00"/>
        <d v="2024-06-16T00:00:00"/>
        <d v="2025-01-19T00:00:00"/>
        <d v="2024-04-14T00:00:00"/>
        <d v="2024-02-12T00:00:00"/>
        <d v="2024-12-15T00:00:00"/>
        <d v="2025-04-15T00:00:00"/>
        <d v="2025-05-10T00:00:00"/>
        <d v="2024-09-08T00:00:00"/>
        <d v="2024-08-05T00:00:00"/>
        <d v="2024-01-11T00:00:00"/>
        <d v="2024-09-03T00:00:00"/>
        <d v="2024-01-18T00:00:00"/>
        <d v="2025-01-12T00:00:00"/>
        <d v="2024-12-04T00:00:00"/>
        <d v="2024-07-16T00:00:00"/>
        <d v="2024-10-16T00:00:00"/>
        <d v="2024-01-15T00:00:00"/>
        <d v="2024-10-26T00:00:00"/>
        <d v="2024-01-13T00:00:00"/>
        <d v="2024-09-15T00:00:00"/>
        <d v="2024-02-24T00:00:00"/>
        <d v="2024-09-11T00:00:00"/>
        <d v="2024-08-19T00:00:00"/>
        <d v="2025-03-15T00:00:00"/>
        <d v="2024-04-11T00:00:00"/>
        <d v="2024-06-09T00:00:00"/>
        <d v="2025-04-06T00:00:00"/>
        <d v="2025-04-09T00:00:00"/>
        <d v="2024-07-21T00:00:00"/>
        <d v="2024-05-25T00:00:00"/>
        <d v="2024-10-22T00:00:00"/>
        <d v="2024-10-05T00:00:00"/>
        <d v="2025-03-18T00:00:00"/>
        <d v="2024-08-22T00:00:00"/>
        <d v="2024-02-11T00:00:00"/>
        <d v="2025-03-22T00:00:00"/>
        <d v="2024-04-17T00:00:00"/>
        <d v="2024-02-07T00:00:00"/>
        <d v="2025-06-10T00:00:00"/>
        <d v="2025-02-27T00:00:00"/>
        <d v="2024-02-22T00:00:00"/>
        <d v="2025-05-11T00:00:00"/>
        <d v="2024-11-14T00:00:00"/>
        <d v="2025-04-17T00:00:00"/>
        <d v="2024-10-25T00:00:00"/>
        <d v="2025-04-12T00:00:00"/>
        <d v="2024-05-19T00:00:00"/>
        <d v="2025-06-03T00:00:00"/>
        <d v="2025-05-16T00:00:00"/>
        <d v="2025-01-21T00:00:00"/>
        <d v="2025-01-27T00:00:00"/>
        <d v="2025-01-30T00:00:00"/>
        <d v="2024-04-12T00:00:00"/>
        <d v="2025-02-23T00:00:00"/>
        <d v="2025-02-11T00:00:00"/>
        <d v="2024-08-20T00:00:00"/>
        <d v="2025-03-30T00:00:00"/>
        <d v="2025-01-02T00:00:00"/>
        <d v="2024-07-03T00:00:00"/>
        <d v="2024-09-17T00:00:00"/>
        <d v="2024-06-10T00:00:00"/>
        <d v="2024-09-13T00:00:00"/>
        <d v="2024-08-30T00:00:00"/>
        <d v="2024-02-20T00:00:00"/>
        <d v="2024-04-09T00:00:00"/>
        <d v="2024-05-14T00:00:00"/>
        <d v="2024-05-15T00:00:00"/>
        <d v="2024-09-20T00:00:00"/>
        <d v="2025-01-09T00:00:00"/>
        <d v="2024-04-20T00:00:00"/>
        <d v="2024-08-14T00:00:00"/>
        <d v="2025-02-22T00:00:00"/>
        <d v="2024-04-28T00:00:00"/>
        <d v="2025-03-05T00:00:00"/>
        <d v="2025-02-21T00:00:00"/>
        <d v="2024-08-29T00:00:00"/>
        <d v="2024-03-03T00:00:00"/>
        <d v="2024-07-29T00:00:00"/>
        <d v="2025-01-01T00:00:00"/>
        <d v="2025-05-02T00:00:00"/>
        <d v="2025-05-17T00:00:00"/>
        <d v="2024-11-28T00:00:00"/>
        <d v="2025-06-01T00:00:00"/>
        <d v="2024-08-08T00:00:00"/>
        <d v="2024-04-08T00:00:00"/>
        <d v="2024-12-03T00:00:00"/>
        <d v="2024-10-21T00:00:00"/>
        <d v="2025-05-08T00:00:00"/>
        <d v="2024-10-12T00:00:00"/>
        <d v="2024-01-27T00:00:00"/>
        <d v="2024-03-12T00:00:00"/>
        <d v="2024-04-23T00:00:00"/>
        <d v="2025-06-23T00:00:00"/>
        <d v="2024-01-08T00:00:00"/>
        <d v="2024-12-01T00:00:00"/>
        <d v="2024-03-14T00:00:00"/>
        <d v="2025-02-18T00:00:00"/>
        <d v="2025-01-05T00:00:00"/>
        <d v="2025-02-14T00:00:00"/>
        <d v="2025-06-06T00:00:00"/>
        <d v="2025-04-04T00:00:00"/>
        <d v="2024-02-27T00:00:00"/>
        <d v="2025-04-05T00:00:00"/>
        <d v="2024-02-10T00:00:00"/>
        <d v="2024-02-23T00:00:00"/>
        <d v="2024-10-17T00:00:00"/>
        <d v="2024-05-12T00:00:00"/>
        <d v="2025-05-12T00:00:00"/>
        <d v="2025-01-20T00:00:00"/>
        <d v="2025-03-24T00:00:00"/>
        <d v="2024-10-18T00:00:00"/>
        <d v="2025-01-11T00:00:00"/>
        <d v="2025-06-24T00:00:00"/>
        <d v="2024-04-15T00:00:00"/>
        <d v="2024-12-23T00:00:00"/>
        <d v="2024-05-29T00:00:00"/>
        <d v="2025-04-25T00:00:00"/>
        <d v="2024-09-19T00:00:00"/>
        <d v="2024-01-17T00:00:00"/>
        <d v="2024-07-10T00:00:00"/>
        <d v="2025-01-31T00:00:00"/>
        <d v="2024-02-15T00:00:00"/>
        <d v="2025-05-05T00:00:00"/>
        <d v="2024-11-13T00:00:00"/>
        <d v="2024-07-14T00:00:00"/>
        <d v="2024-10-06T00:00:00"/>
        <d v="2025-04-01T00:00:00"/>
        <d v="2024-12-27T00:00:00"/>
        <d v="2025-02-19T00:00:00"/>
        <d v="2024-05-26T00:00:00"/>
        <d v="2025-06-26T00:00:00"/>
        <d v="2024-09-25T00:00:00"/>
        <d v="2024-10-24T00:00:00"/>
        <d v="2025-05-20T00:00:00"/>
        <d v="2025-06-22T00:00:00"/>
        <d v="2024-07-05T00:00:00"/>
        <d v="2025-06-14T00:00:00"/>
        <d v="2024-12-20T00:00:00"/>
        <d v="2024-10-08T00:00:00"/>
        <d v="2024-04-05T00:00:00"/>
        <d v="2024-06-06T00:00:00"/>
        <d v="2024-12-11T00:00:00"/>
        <d v="2025-05-24T00:00:00"/>
        <d v="2024-11-22T00:00:00"/>
        <d v="2024-04-18T00:00:00"/>
        <d v="2024-05-24T00:00:00"/>
        <d v="2025-05-25T00:00:00"/>
        <d v="2024-04-02T00:00:00"/>
        <d v="2024-10-19T00:00:00"/>
        <d v="2024-07-18T00:00:00"/>
        <d v="2024-10-13T00:00:00"/>
        <d v="2025-05-01T00:00:00"/>
        <d v="2024-11-11T00:00:00"/>
        <d v="2024-08-21T00:00:00"/>
        <d v="2024-07-27T00:00:00"/>
        <d v="2024-05-21T00:00:00"/>
        <d v="2024-12-28T00:00:00"/>
        <d v="2024-07-31T00:00:00"/>
        <d v="2025-02-08T00:00:00"/>
        <d v="2024-05-20T00:00:00"/>
        <d v="2024-09-05T00:00:00"/>
        <d v="2024-01-06T00:00:00"/>
        <d v="2024-08-25T00:00:00"/>
        <d v="2025-02-10T00:00:00"/>
        <d v="2024-01-10T00:00:00"/>
        <d v="2024-05-17T00:00:00"/>
        <d v="2024-06-15T00:00:00"/>
        <d v="2024-07-08T00:00:00"/>
        <d v="2024-03-04T00:00:00"/>
        <d v="2025-01-17T00:00:00"/>
        <d v="2024-09-10T00:00:00"/>
        <d v="2024-06-17T00:00:00"/>
        <d v="2025-05-15T00:00:00"/>
        <d v="2025-06-09T00:00:00"/>
        <d v="2024-01-23T00:00:00"/>
        <d v="2024-03-15T00:00:00"/>
        <d v="2025-01-18T00:00:00"/>
        <d v="2024-03-23T00:00:00"/>
        <d v="2025-02-06T00:00:00"/>
        <d v="2024-11-01T00:00:00"/>
        <d v="2025-06-28T00:00:00"/>
        <d v="2024-07-12T00:00:00"/>
        <d v="2024-02-19T00:00:00"/>
        <d v="2025-03-13T00:00:00"/>
        <d v="2025-06-21T00:00:00"/>
        <d v="2024-08-10T00:00:00"/>
        <d v="2024-08-04T00:00:00"/>
        <d v="2024-07-28T00:00:00"/>
        <d v="2025-04-22T00:00:00"/>
        <d v="2025-01-03T00:00:00"/>
        <d v="2024-11-23T00:00:00"/>
        <d v="2024-05-23T00:00:00"/>
        <d v="2025-06-20T00:00:00"/>
        <d v="2025-04-11T00:00:00"/>
        <d v="2025-05-14T00:00:00"/>
        <d v="2024-07-02T00:00:00"/>
        <d v="2024-11-03T00:00:00"/>
        <d v="2024-04-07T00:00:00"/>
        <d v="2024-02-03T00:00:00"/>
        <d v="2024-12-05T00:00:00"/>
        <d v="2024-03-25T00:00:00"/>
        <d v="2025-02-02T00:00:00"/>
        <d v="2025-06-08T00:00:00"/>
        <d v="2025-05-22T00:00:00"/>
        <d v="2024-12-06T00:00:00"/>
        <d v="2024-04-26T00:00:00"/>
        <d v="2025-06-15T00:00:00"/>
        <d v="2024-06-03T00:00:00"/>
        <d v="2025-05-09T00:00:00"/>
        <d v="2024-12-17T00:00:00"/>
        <d v="2025-06-12T00:00:00"/>
        <d v="2025-02-05T00:00:00"/>
        <d v="2024-10-31T00:00:00"/>
        <d v="2025-02-01T00:00:00"/>
        <d v="2024-06-19T00:00:00"/>
        <d v="2025-01-10T00:00:00"/>
        <d v="2025-03-11T00:00:00"/>
        <d v="2024-04-30T00:00:00"/>
        <d v="2025-03-14T00:00:00"/>
        <d v="2024-03-01T00:00:00"/>
        <d v="2024-05-18T00:00:00"/>
        <d v="2024-09-12T00:00:00"/>
        <d v="2025-06-11T00:00:00"/>
        <d v="2024-01-03T00:00:00"/>
        <d v="2025-01-04T00:00:00"/>
        <d v="2025-01-26T00:00:00"/>
        <d v="2025-06-27T00:00:00"/>
        <d v="2025-03-29T00:00:00"/>
        <d v="2025-01-28T00:00:00"/>
        <d v="2024-03-27T00:00:00"/>
        <d v="2024-03-13T00:00:00"/>
        <d v="2025-03-06T00:00:00"/>
        <d v="2025-06-02T00:00:00"/>
        <d v="2024-11-30T00:00:00"/>
        <d v="2024-05-02T00:00:00"/>
        <d v="2025-06-19T00:00:00"/>
        <d v="2024-09-26T00:00:00"/>
      </sharedItems>
      <fieldGroup par="17"/>
    </cacheField>
    <cacheField name="SettoreCliente" numFmtId="0">
      <sharedItems/>
    </cacheField>
    <cacheField name="Regione" numFmtId="0">
      <sharedItems/>
    </cacheField>
    <cacheField name="TipoServizio" numFmtId="0">
      <sharedItems count="7">
        <s v="Compliance legale"/>
        <s v="Consulenza fiscale"/>
        <s v="Contenzioso"/>
        <s v="Revisione contabile"/>
        <s v="Due Diligence"/>
        <s v="Supporto M&amp;A"/>
        <s v="Transfer pricing"/>
      </sharedItems>
    </cacheField>
    <cacheField name="Ore_Preventivate" numFmtId="0">
      <sharedItems containsSemiMixedTypes="0" containsString="0" containsNumber="1" containsInteger="1" minValue="1" maxValue="93"/>
    </cacheField>
    <cacheField name="Ore_Fatturate" numFmtId="0">
      <sharedItems containsSemiMixedTypes="0" containsString="0" containsNumber="1" containsInteger="1" minValue="1" maxValue="80"/>
    </cacheField>
    <cacheField name="TariffaOraria" numFmtId="0">
      <sharedItems containsSemiMixedTypes="0" containsString="0" containsNumber="1" containsInteger="1" minValue="60" maxValue="300"/>
    </cacheField>
    <cacheField name="Imponibile" numFmtId="0">
      <sharedItems containsSemiMixedTypes="0" containsString="0" containsNumber="1" containsInteger="1" minValue="67" maxValue="23680"/>
    </cacheField>
    <cacheField name="AliquotaIVA" numFmtId="0">
      <sharedItems containsSemiMixedTypes="0" containsString="0" containsNumber="1" minValue="0" maxValue="0.22"/>
    </cacheField>
    <cacheField name="IVA" numFmtId="0">
      <sharedItems containsSemiMixedTypes="0" containsString="0" containsNumber="1" minValue="0" maxValue="5209.6000000000004"/>
    </cacheField>
    <cacheField name="Totale" numFmtId="0">
      <sharedItems containsSemiMixedTypes="0" containsString="0" containsNumber="1" minValue="67" maxValue="28889.599999999999"/>
    </cacheField>
    <cacheField name="StatoPagamento" numFmtId="0">
      <sharedItems count="3">
        <s v="Scaduto"/>
        <s v="Pagato"/>
        <s v="In sospeso"/>
      </sharedItems>
    </cacheField>
    <cacheField name="Consulente" numFmtId="0">
      <sharedItems count="10">
        <s v="Bianchi L."/>
        <s v="Ricci E."/>
        <s v="Gallo P."/>
        <s v="Verdi G."/>
        <s v="Conti S."/>
        <s v="Russo F."/>
        <s v="Rossi A."/>
        <s v="Ferrari M."/>
        <s v="Colombo D."/>
        <s v="Greco C."/>
      </sharedItems>
    </cacheField>
    <cacheField name="Scostamento Ore" numFmtId="0" formula="Ore_Fatturate-Ore_Preventivate" databaseField="0"/>
    <cacheField name="Months (Data)" numFmtId="0" databaseField="0">
      <fieldGroup base="1">
        <rangePr groupBy="months" startDate="2024-01-02T00:00:00" endDate="2025-06-29T00:00:00"/>
        <groupItems count="14">
          <s v="&lt;02/01/2024"/>
          <s v="gen"/>
          <s v="feb"/>
          <s v="mar"/>
          <s v="apr"/>
          <s v="mag"/>
          <s v="giu"/>
          <s v="lug"/>
          <s v="ago"/>
          <s v="set"/>
          <s v="ott"/>
          <s v="nov"/>
          <s v="dic"/>
          <s v="&gt;29/06/2025"/>
        </groupItems>
      </fieldGroup>
    </cacheField>
    <cacheField name="Quarters (Data)" numFmtId="0" databaseField="0">
      <fieldGroup base="1">
        <rangePr groupBy="quarters" startDate="2024-01-02T00:00:00" endDate="2025-06-29T00:00:00"/>
        <groupItems count="6">
          <s v="&lt;02/01/2024"/>
          <s v="Qtr1"/>
          <s v="Qtr2"/>
          <s v="Qtr3"/>
          <s v="Qtr4"/>
          <s v="&gt;29/06/2025"/>
        </groupItems>
      </fieldGroup>
    </cacheField>
    <cacheField name="Years (Data)" numFmtId="0" databaseField="0">
      <fieldGroup base="1">
        <rangePr groupBy="years" startDate="2024-01-02T00:00:00" endDate="2025-06-29T00:00:00"/>
        <groupItems count="4">
          <s v="&lt;02/01/2024"/>
          <s v="2024"/>
          <s v="2025"/>
          <s v="&gt;29/0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F-2025-0001"/>
    <x v="0"/>
    <s v="Manifatturiero"/>
    <s v="Piemonte"/>
    <x v="0"/>
    <n v="49"/>
    <n v="52"/>
    <n v="152"/>
    <n v="7904"/>
    <n v="0.22"/>
    <n v="1738.88"/>
    <n v="9642.880000000001"/>
    <x v="0"/>
    <x v="0"/>
  </r>
  <r>
    <s v="F-2025-0002"/>
    <x v="1"/>
    <s v="Energia"/>
    <s v="Lombardia"/>
    <x v="1"/>
    <n v="18"/>
    <n v="15"/>
    <n v="166"/>
    <n v="2490"/>
    <n v="0.22"/>
    <n v="547.79999999999995"/>
    <n v="3037.8"/>
    <x v="1"/>
    <x v="1"/>
  </r>
  <r>
    <s v="F-2025-0003"/>
    <x v="2"/>
    <s v="Pubblica Amministrazione"/>
    <s v="Emilia-Romagna"/>
    <x v="2"/>
    <n v="79"/>
    <n v="72"/>
    <n v="248"/>
    <n v="17856"/>
    <n v="0.22"/>
    <n v="3928.32"/>
    <n v="21784.32"/>
    <x v="0"/>
    <x v="2"/>
  </r>
  <r>
    <s v="F-2025-0004"/>
    <x v="3"/>
    <s v="Turismo"/>
    <s v="Estero UE"/>
    <x v="3"/>
    <n v="22"/>
    <n v="21"/>
    <n v="162"/>
    <n v="3402"/>
    <n v="0"/>
    <n v="0"/>
    <n v="3402"/>
    <x v="1"/>
    <x v="3"/>
  </r>
  <r>
    <s v="F-2025-0005"/>
    <x v="4"/>
    <s v="Sanità"/>
    <s v="Piemonte"/>
    <x v="0"/>
    <n v="65"/>
    <n v="75"/>
    <n v="262"/>
    <n v="19650"/>
    <n v="0.22"/>
    <n v="4323"/>
    <n v="23973"/>
    <x v="2"/>
    <x v="0"/>
  </r>
  <r>
    <s v="F-2025-0006"/>
    <x v="5"/>
    <s v="Energia"/>
    <s v="Lazio"/>
    <x v="3"/>
    <n v="21"/>
    <n v="24"/>
    <n v="190"/>
    <n v="4560"/>
    <n v="0.22"/>
    <n v="1003.2"/>
    <n v="5563.2"/>
    <x v="0"/>
    <x v="4"/>
  </r>
  <r>
    <s v="F-2025-0007"/>
    <x v="6"/>
    <s v="Turismo"/>
    <s v="Puglia"/>
    <x v="1"/>
    <n v="18"/>
    <n v="22"/>
    <n v="112"/>
    <n v="2464"/>
    <n v="0.1"/>
    <n v="246.4"/>
    <n v="2710.4"/>
    <x v="2"/>
    <x v="0"/>
  </r>
  <r>
    <s v="F-2025-0008"/>
    <x v="7"/>
    <s v="Sanità"/>
    <s v="Estero UE"/>
    <x v="0"/>
    <n v="2"/>
    <n v="2"/>
    <n v="147"/>
    <n v="294"/>
    <n v="0"/>
    <n v="0"/>
    <n v="294"/>
    <x v="0"/>
    <x v="0"/>
  </r>
  <r>
    <s v="F-2025-0009"/>
    <x v="8"/>
    <s v="Retail"/>
    <s v="Piemonte"/>
    <x v="1"/>
    <n v="31"/>
    <n v="30"/>
    <n v="97"/>
    <n v="2910"/>
    <n v="0.1"/>
    <n v="291"/>
    <n v="3201"/>
    <x v="1"/>
    <x v="2"/>
  </r>
  <r>
    <s v="F-2025-0010"/>
    <x v="9"/>
    <s v="Turismo"/>
    <s v="Estero Extra UE"/>
    <x v="4"/>
    <n v="2"/>
    <n v="2"/>
    <n v="251"/>
    <n v="502"/>
    <n v="0"/>
    <n v="0"/>
    <n v="502"/>
    <x v="2"/>
    <x v="3"/>
  </r>
  <r>
    <s v="F-2025-0011"/>
    <x v="10"/>
    <s v="Sanità"/>
    <s v="Emilia-Romagna"/>
    <x v="2"/>
    <n v="48"/>
    <n v="60"/>
    <n v="80"/>
    <n v="4800"/>
    <n v="0.22"/>
    <n v="1056"/>
    <n v="5856"/>
    <x v="0"/>
    <x v="0"/>
  </r>
  <r>
    <s v="F-2025-0012"/>
    <x v="11"/>
    <s v="Pubblica Amministrazione"/>
    <s v="Emilia-Romagna"/>
    <x v="0"/>
    <n v="39"/>
    <n v="33"/>
    <n v="263"/>
    <n v="8679"/>
    <n v="0.22"/>
    <n v="1909.38"/>
    <n v="10588.38"/>
    <x v="2"/>
    <x v="1"/>
  </r>
  <r>
    <s v="F-2025-0013"/>
    <x v="12"/>
    <s v="Sanità"/>
    <s v="Lombardia"/>
    <x v="0"/>
    <n v="66"/>
    <n v="58"/>
    <n v="81"/>
    <n v="4698"/>
    <n v="0.22"/>
    <n v="1033.56"/>
    <n v="5731.5599999999986"/>
    <x v="2"/>
    <x v="2"/>
  </r>
  <r>
    <s v="F-2025-0014"/>
    <x v="13"/>
    <s v="Finanza"/>
    <s v="Emilia-Romagna"/>
    <x v="5"/>
    <n v="43"/>
    <n v="49"/>
    <n v="278"/>
    <n v="13622"/>
    <n v="0.1"/>
    <n v="1362.2"/>
    <n v="14984.2"/>
    <x v="2"/>
    <x v="5"/>
  </r>
  <r>
    <s v="F-2025-0015"/>
    <x v="14"/>
    <s v="Energia"/>
    <s v="Estero Extra UE"/>
    <x v="6"/>
    <n v="51"/>
    <n v="59"/>
    <n v="229"/>
    <n v="13511"/>
    <n v="0"/>
    <n v="0"/>
    <n v="13511"/>
    <x v="1"/>
    <x v="4"/>
  </r>
  <r>
    <s v="F-2025-0016"/>
    <x v="15"/>
    <s v="Retail"/>
    <s v="Puglia"/>
    <x v="5"/>
    <n v="52"/>
    <n v="60"/>
    <n v="267"/>
    <n v="16020"/>
    <n v="0.22"/>
    <n v="3524.4"/>
    <n v="19544.400000000001"/>
    <x v="0"/>
    <x v="2"/>
  </r>
  <r>
    <s v="F-2025-0017"/>
    <x v="16"/>
    <s v="Sanità"/>
    <s v="Emilia-Romagna"/>
    <x v="0"/>
    <n v="14"/>
    <n v="15"/>
    <n v="249"/>
    <n v="3735"/>
    <n v="0.22"/>
    <n v="821.7"/>
    <n v="4556.7"/>
    <x v="1"/>
    <x v="6"/>
  </r>
  <r>
    <s v="F-2025-0018"/>
    <x v="17"/>
    <s v="Tecnologia"/>
    <s v="Estero Extra UE"/>
    <x v="0"/>
    <n v="63"/>
    <n v="62"/>
    <n v="234"/>
    <n v="14508"/>
    <n v="0"/>
    <n v="0"/>
    <n v="14508"/>
    <x v="0"/>
    <x v="2"/>
  </r>
  <r>
    <s v="F-2025-0019"/>
    <x v="18"/>
    <s v="Energia"/>
    <s v="Campania"/>
    <x v="5"/>
    <n v="60"/>
    <n v="62"/>
    <n v="110"/>
    <n v="6820"/>
    <n v="0.1"/>
    <n v="682"/>
    <n v="7502"/>
    <x v="0"/>
    <x v="4"/>
  </r>
  <r>
    <s v="F-2025-0020"/>
    <x v="19"/>
    <s v="Finanza"/>
    <s v="Estero Extra UE"/>
    <x v="5"/>
    <n v="50"/>
    <n v="55"/>
    <n v="123"/>
    <n v="6765"/>
    <n v="0"/>
    <n v="0"/>
    <n v="6765"/>
    <x v="2"/>
    <x v="7"/>
  </r>
  <r>
    <s v="F-2025-0021"/>
    <x v="0"/>
    <s v="Costruzioni"/>
    <s v="Campania"/>
    <x v="0"/>
    <n v="3"/>
    <n v="3"/>
    <n v="288"/>
    <n v="864"/>
    <n v="0.22"/>
    <n v="190.08"/>
    <n v="1054.08"/>
    <x v="0"/>
    <x v="4"/>
  </r>
  <r>
    <s v="F-2025-0022"/>
    <x v="20"/>
    <s v="Tecnologia"/>
    <s v="Puglia"/>
    <x v="1"/>
    <n v="44"/>
    <n v="51"/>
    <n v="194"/>
    <n v="9894"/>
    <n v="0.1"/>
    <n v="989.4"/>
    <n v="10883.4"/>
    <x v="2"/>
    <x v="1"/>
  </r>
  <r>
    <s v="F-2025-0023"/>
    <x v="21"/>
    <s v="Tecnologia"/>
    <s v="Toscana"/>
    <x v="4"/>
    <n v="19"/>
    <n v="21"/>
    <n v="132"/>
    <n v="2772"/>
    <n v="0.22"/>
    <n v="609.84"/>
    <n v="3381.84"/>
    <x v="0"/>
    <x v="6"/>
  </r>
  <r>
    <s v="F-2025-0024"/>
    <x v="22"/>
    <s v="Turismo"/>
    <s v="Lombardia"/>
    <x v="1"/>
    <n v="37"/>
    <n v="39"/>
    <n v="77"/>
    <n v="3003"/>
    <n v="0.1"/>
    <n v="300.3"/>
    <n v="3303.3"/>
    <x v="2"/>
    <x v="5"/>
  </r>
  <r>
    <s v="F-2025-0025"/>
    <x v="23"/>
    <s v="Retail"/>
    <s v="Estero UE"/>
    <x v="1"/>
    <n v="4"/>
    <n v="4"/>
    <n v="148"/>
    <n v="592"/>
    <n v="0"/>
    <n v="0"/>
    <n v="592"/>
    <x v="1"/>
    <x v="8"/>
  </r>
  <r>
    <s v="F-2025-0026"/>
    <x v="24"/>
    <s v="Pubblica Amministrazione"/>
    <s v="Veneto"/>
    <x v="0"/>
    <n v="67"/>
    <n v="60"/>
    <n v="73"/>
    <n v="4380"/>
    <n v="0.22"/>
    <n v="963.6"/>
    <n v="5343.6"/>
    <x v="0"/>
    <x v="3"/>
  </r>
  <r>
    <s v="F-2025-0027"/>
    <x v="25"/>
    <s v="Pubblica Amministrazione"/>
    <s v="Estero UE"/>
    <x v="6"/>
    <n v="8"/>
    <n v="9"/>
    <n v="149"/>
    <n v="1341"/>
    <n v="0"/>
    <n v="0"/>
    <n v="1341"/>
    <x v="1"/>
    <x v="1"/>
  </r>
  <r>
    <s v="F-2025-0028"/>
    <x v="26"/>
    <s v="Costruzioni"/>
    <s v="Campania"/>
    <x v="2"/>
    <n v="53"/>
    <n v="53"/>
    <n v="189"/>
    <n v="10017"/>
    <n v="0.22"/>
    <n v="2203.7399999999998"/>
    <n v="12220.74"/>
    <x v="2"/>
    <x v="1"/>
  </r>
  <r>
    <s v="F-2025-0029"/>
    <x v="27"/>
    <s v="Finanza"/>
    <s v="Emilia-Romagna"/>
    <x v="0"/>
    <n v="62"/>
    <n v="60"/>
    <n v="258"/>
    <n v="15480"/>
    <n v="0.22"/>
    <n v="3405.6"/>
    <n v="18885.599999999999"/>
    <x v="1"/>
    <x v="9"/>
  </r>
  <r>
    <s v="F-2025-0030"/>
    <x v="28"/>
    <s v="Retail"/>
    <s v="Lombardia"/>
    <x v="1"/>
    <n v="36"/>
    <n v="44"/>
    <n v="67"/>
    <n v="2948"/>
    <n v="0.22"/>
    <n v="648.55999999999995"/>
    <n v="3596.56"/>
    <x v="1"/>
    <x v="5"/>
  </r>
  <r>
    <s v="F-2025-0031"/>
    <x v="29"/>
    <s v="Manifatturiero"/>
    <s v="Toscana"/>
    <x v="1"/>
    <n v="49"/>
    <n v="47"/>
    <n v="94"/>
    <n v="4418"/>
    <n v="0.22"/>
    <n v="971.96"/>
    <n v="5389.96"/>
    <x v="2"/>
    <x v="8"/>
  </r>
  <r>
    <s v="F-2025-0032"/>
    <x v="30"/>
    <s v="Pubblica Amministrazione"/>
    <s v="Veneto"/>
    <x v="2"/>
    <n v="68"/>
    <n v="78"/>
    <n v="140"/>
    <n v="10920"/>
    <n v="0.1"/>
    <n v="1092"/>
    <n v="12012"/>
    <x v="0"/>
    <x v="9"/>
  </r>
  <r>
    <s v="F-2025-0033"/>
    <x v="31"/>
    <s v="Retail"/>
    <s v="Sicilia"/>
    <x v="4"/>
    <n v="30"/>
    <n v="36"/>
    <n v="109"/>
    <n v="3924"/>
    <n v="0.22"/>
    <n v="863.28"/>
    <n v="4787.28"/>
    <x v="1"/>
    <x v="0"/>
  </r>
  <r>
    <s v="F-2025-0034"/>
    <x v="32"/>
    <s v="Sanità"/>
    <s v="Campania"/>
    <x v="6"/>
    <n v="5"/>
    <n v="4"/>
    <n v="61"/>
    <n v="244"/>
    <n v="0.22"/>
    <n v="53.68"/>
    <n v="297.68"/>
    <x v="0"/>
    <x v="6"/>
  </r>
  <r>
    <s v="F-2025-0035"/>
    <x v="33"/>
    <s v="Manifatturiero"/>
    <s v="Campania"/>
    <x v="2"/>
    <n v="7"/>
    <n v="6"/>
    <n v="113"/>
    <n v="678"/>
    <n v="0.22"/>
    <n v="149.16"/>
    <n v="827.16"/>
    <x v="1"/>
    <x v="5"/>
  </r>
  <r>
    <s v="F-2025-0036"/>
    <x v="34"/>
    <s v="Retail"/>
    <s v="Puglia"/>
    <x v="6"/>
    <n v="4"/>
    <n v="4"/>
    <n v="113"/>
    <n v="452"/>
    <n v="0.22"/>
    <n v="99.44"/>
    <n v="551.44000000000005"/>
    <x v="1"/>
    <x v="4"/>
  </r>
  <r>
    <s v="F-2025-0037"/>
    <x v="35"/>
    <s v="Retail"/>
    <s v="Lazio"/>
    <x v="6"/>
    <n v="58"/>
    <n v="63"/>
    <n v="205"/>
    <n v="12915"/>
    <n v="0.22"/>
    <n v="2841.3"/>
    <n v="15756.3"/>
    <x v="0"/>
    <x v="0"/>
  </r>
  <r>
    <s v="F-2025-0038"/>
    <x v="36"/>
    <s v="Pubblica Amministrazione"/>
    <s v="Lombardia"/>
    <x v="1"/>
    <n v="37"/>
    <n v="44"/>
    <n v="221"/>
    <n v="9724"/>
    <n v="0.1"/>
    <n v="972.4"/>
    <n v="10696.4"/>
    <x v="1"/>
    <x v="3"/>
  </r>
  <r>
    <s v="F-2025-0039"/>
    <x v="37"/>
    <s v="Turismo"/>
    <s v="Sicilia"/>
    <x v="0"/>
    <n v="79"/>
    <n v="74"/>
    <n v="249"/>
    <n v="18426"/>
    <n v="0.1"/>
    <n v="1842.6"/>
    <n v="20268.599999999999"/>
    <x v="1"/>
    <x v="3"/>
  </r>
  <r>
    <s v="F-2025-0040"/>
    <x v="38"/>
    <s v="Manifatturiero"/>
    <s v="Campania"/>
    <x v="3"/>
    <n v="14"/>
    <n v="14"/>
    <n v="154"/>
    <n v="2156"/>
    <n v="0.1"/>
    <n v="215.6"/>
    <n v="2371.6"/>
    <x v="2"/>
    <x v="4"/>
  </r>
  <r>
    <s v="F-2025-0041"/>
    <x v="39"/>
    <s v="Pubblica Amministrazione"/>
    <s v="Estero Extra UE"/>
    <x v="2"/>
    <n v="41"/>
    <n v="48"/>
    <n v="74"/>
    <n v="3552"/>
    <n v="0"/>
    <n v="0"/>
    <n v="3552"/>
    <x v="2"/>
    <x v="3"/>
  </r>
  <r>
    <s v="F-2025-0042"/>
    <x v="40"/>
    <s v="Costruzioni"/>
    <s v="Emilia-Romagna"/>
    <x v="1"/>
    <n v="72"/>
    <n v="72"/>
    <n v="265"/>
    <n v="19080"/>
    <n v="0.22"/>
    <n v="4197.6000000000004"/>
    <n v="23277.599999999999"/>
    <x v="0"/>
    <x v="6"/>
  </r>
  <r>
    <s v="F-2025-0043"/>
    <x v="41"/>
    <s v="Manifatturiero"/>
    <s v="Lombardia"/>
    <x v="5"/>
    <n v="50"/>
    <n v="62"/>
    <n v="99"/>
    <n v="6138"/>
    <n v="0.22"/>
    <n v="1350.36"/>
    <n v="7488.36"/>
    <x v="0"/>
    <x v="3"/>
  </r>
  <r>
    <s v="F-2025-0044"/>
    <x v="42"/>
    <s v="Pubblica Amministrazione"/>
    <s v="Lazio"/>
    <x v="4"/>
    <n v="93"/>
    <n v="80"/>
    <n v="296"/>
    <n v="23680"/>
    <n v="0.22"/>
    <n v="5209.6000000000004"/>
    <n v="28889.599999999999"/>
    <x v="0"/>
    <x v="0"/>
  </r>
  <r>
    <s v="F-2025-0045"/>
    <x v="43"/>
    <s v="Energia"/>
    <s v="Lazio"/>
    <x v="5"/>
    <n v="48"/>
    <n v="53"/>
    <n v="83"/>
    <n v="4399"/>
    <n v="0.22"/>
    <n v="967.78"/>
    <n v="5366.78"/>
    <x v="0"/>
    <x v="6"/>
  </r>
  <r>
    <s v="F-2025-0046"/>
    <x v="44"/>
    <s v="Energia"/>
    <s v="Estero Extra UE"/>
    <x v="5"/>
    <n v="28"/>
    <n v="26"/>
    <n v="276"/>
    <n v="7176"/>
    <n v="0"/>
    <n v="0"/>
    <n v="7176"/>
    <x v="0"/>
    <x v="1"/>
  </r>
  <r>
    <s v="F-2025-0047"/>
    <x v="45"/>
    <s v="Costruzioni"/>
    <s v="Emilia-Romagna"/>
    <x v="2"/>
    <n v="55"/>
    <n v="60"/>
    <n v="183"/>
    <n v="10980"/>
    <n v="0.22"/>
    <n v="2415.6"/>
    <n v="13395.6"/>
    <x v="1"/>
    <x v="4"/>
  </r>
  <r>
    <s v="F-2025-0048"/>
    <x v="46"/>
    <s v="Tecnologia"/>
    <s v="Estero Extra UE"/>
    <x v="2"/>
    <n v="41"/>
    <n v="41"/>
    <n v="216"/>
    <n v="8856"/>
    <n v="0"/>
    <n v="0"/>
    <n v="8856"/>
    <x v="2"/>
    <x v="8"/>
  </r>
  <r>
    <s v="F-2025-0049"/>
    <x v="45"/>
    <s v="Finanza"/>
    <s v="Lombardia"/>
    <x v="6"/>
    <n v="15"/>
    <n v="15"/>
    <n v="104"/>
    <n v="1560"/>
    <n v="0.22"/>
    <n v="343.2"/>
    <n v="1903.2"/>
    <x v="0"/>
    <x v="0"/>
  </r>
  <r>
    <s v="F-2025-0050"/>
    <x v="47"/>
    <s v="Pubblica Amministrazione"/>
    <s v="Emilia-Romagna"/>
    <x v="5"/>
    <n v="57"/>
    <n v="65"/>
    <n v="148"/>
    <n v="9620"/>
    <n v="0.22"/>
    <n v="2116.4"/>
    <n v="11736.4"/>
    <x v="2"/>
    <x v="0"/>
  </r>
  <r>
    <s v="F-2025-0051"/>
    <x v="48"/>
    <s v="Sanità"/>
    <s v="Piemonte"/>
    <x v="0"/>
    <n v="84"/>
    <n v="71"/>
    <n v="68"/>
    <n v="4828"/>
    <n v="0.22"/>
    <n v="1062.1600000000001"/>
    <n v="5890.16"/>
    <x v="0"/>
    <x v="4"/>
  </r>
  <r>
    <s v="F-2025-0052"/>
    <x v="49"/>
    <s v="Manifatturiero"/>
    <s v="Estero Extra UE"/>
    <x v="4"/>
    <n v="1"/>
    <n v="1"/>
    <n v="295"/>
    <n v="295"/>
    <n v="0"/>
    <n v="0"/>
    <n v="295"/>
    <x v="0"/>
    <x v="4"/>
  </r>
  <r>
    <s v="F-2025-0053"/>
    <x v="50"/>
    <s v="Tecnologia"/>
    <s v="Piemonte"/>
    <x v="1"/>
    <n v="9"/>
    <n v="8"/>
    <n v="275"/>
    <n v="2200"/>
    <n v="0.1"/>
    <n v="220"/>
    <n v="2420"/>
    <x v="0"/>
    <x v="1"/>
  </r>
  <r>
    <s v="F-2025-0054"/>
    <x v="51"/>
    <s v="Costruzioni"/>
    <s v="Piemonte"/>
    <x v="5"/>
    <n v="73"/>
    <n v="63"/>
    <n v="198"/>
    <n v="12474"/>
    <n v="0.22"/>
    <n v="2744.28"/>
    <n v="15218.28"/>
    <x v="2"/>
    <x v="5"/>
  </r>
  <r>
    <s v="F-2025-0055"/>
    <x v="52"/>
    <s v="Pubblica Amministrazione"/>
    <s v="Sicilia"/>
    <x v="3"/>
    <n v="8"/>
    <n v="8"/>
    <n v="222"/>
    <n v="1776"/>
    <n v="0.1"/>
    <n v="177.6"/>
    <n v="1953.6"/>
    <x v="1"/>
    <x v="0"/>
  </r>
  <r>
    <s v="F-2025-0056"/>
    <x v="39"/>
    <s v="Costruzioni"/>
    <s v="Lombardia"/>
    <x v="1"/>
    <n v="41"/>
    <n v="35"/>
    <n v="92"/>
    <n v="3220"/>
    <n v="0.22"/>
    <n v="708.4"/>
    <n v="3928.4"/>
    <x v="1"/>
    <x v="4"/>
  </r>
  <r>
    <s v="F-2025-0057"/>
    <x v="53"/>
    <s v="Turismo"/>
    <s v="Puglia"/>
    <x v="2"/>
    <n v="4"/>
    <n v="5"/>
    <n v="293"/>
    <n v="1465"/>
    <n v="0.22"/>
    <n v="322.3"/>
    <n v="1787.3"/>
    <x v="1"/>
    <x v="0"/>
  </r>
  <r>
    <s v="F-2025-0058"/>
    <x v="54"/>
    <s v="Tecnologia"/>
    <s v="Puglia"/>
    <x v="1"/>
    <n v="36"/>
    <n v="41"/>
    <n v="87"/>
    <n v="3567"/>
    <n v="0.22"/>
    <n v="784.74"/>
    <n v="4351.74"/>
    <x v="0"/>
    <x v="1"/>
  </r>
  <r>
    <s v="F-2025-0059"/>
    <x v="55"/>
    <s v="Energia"/>
    <s v="Veneto"/>
    <x v="1"/>
    <n v="6"/>
    <n v="7"/>
    <n v="260"/>
    <n v="1820"/>
    <n v="0.22"/>
    <n v="400.4"/>
    <n v="2220.4"/>
    <x v="1"/>
    <x v="7"/>
  </r>
  <r>
    <s v="F-2025-0060"/>
    <x v="56"/>
    <s v="Retail"/>
    <s v="Estero Extra UE"/>
    <x v="1"/>
    <n v="67"/>
    <n v="72"/>
    <n v="71"/>
    <n v="5112"/>
    <n v="0"/>
    <n v="0"/>
    <n v="5112"/>
    <x v="2"/>
    <x v="1"/>
  </r>
  <r>
    <s v="F-2025-0061"/>
    <x v="37"/>
    <s v="Tecnologia"/>
    <s v="Emilia-Romagna"/>
    <x v="4"/>
    <n v="32"/>
    <n v="34"/>
    <n v="92"/>
    <n v="3128"/>
    <n v="0.22"/>
    <n v="688.16"/>
    <n v="3816.16"/>
    <x v="1"/>
    <x v="2"/>
  </r>
  <r>
    <s v="F-2025-0062"/>
    <x v="57"/>
    <s v="Tecnologia"/>
    <s v="Toscana"/>
    <x v="4"/>
    <n v="44"/>
    <n v="48"/>
    <n v="210"/>
    <n v="10080"/>
    <n v="0.1"/>
    <n v="1008"/>
    <n v="11088"/>
    <x v="0"/>
    <x v="5"/>
  </r>
  <r>
    <s v="F-2025-0063"/>
    <x v="58"/>
    <s v="Tecnologia"/>
    <s v="Lazio"/>
    <x v="6"/>
    <n v="70"/>
    <n v="62"/>
    <n v="275"/>
    <n v="17050"/>
    <n v="0.1"/>
    <n v="1705"/>
    <n v="18755"/>
    <x v="2"/>
    <x v="5"/>
  </r>
  <r>
    <s v="F-2025-0064"/>
    <x v="59"/>
    <s v="Turismo"/>
    <s v="Toscana"/>
    <x v="3"/>
    <n v="35"/>
    <n v="37"/>
    <n v="158"/>
    <n v="5846"/>
    <n v="0.22"/>
    <n v="1286.1199999999999"/>
    <n v="7132.12"/>
    <x v="1"/>
    <x v="5"/>
  </r>
  <r>
    <s v="F-2025-0065"/>
    <x v="60"/>
    <s v="Retail"/>
    <s v="Campania"/>
    <x v="3"/>
    <n v="40"/>
    <n v="44"/>
    <n v="163"/>
    <n v="7172"/>
    <n v="0.22"/>
    <n v="1577.84"/>
    <n v="8749.84"/>
    <x v="1"/>
    <x v="4"/>
  </r>
  <r>
    <s v="F-2025-0066"/>
    <x v="61"/>
    <s v="Pubblica Amministrazione"/>
    <s v="Campania"/>
    <x v="2"/>
    <n v="36"/>
    <n v="35"/>
    <n v="252"/>
    <n v="8820"/>
    <n v="0.1"/>
    <n v="882"/>
    <n v="9702"/>
    <x v="0"/>
    <x v="7"/>
  </r>
  <r>
    <s v="F-2025-0067"/>
    <x v="62"/>
    <s v="Finanza"/>
    <s v="Piemonte"/>
    <x v="0"/>
    <n v="40"/>
    <n v="47"/>
    <n v="265"/>
    <n v="12455"/>
    <n v="0.22"/>
    <n v="2740.1"/>
    <n v="15195.1"/>
    <x v="2"/>
    <x v="6"/>
  </r>
  <r>
    <s v="F-2025-0068"/>
    <x v="63"/>
    <s v="Energia"/>
    <s v="Toscana"/>
    <x v="2"/>
    <n v="3"/>
    <n v="3"/>
    <n v="60"/>
    <n v="180"/>
    <n v="0.22"/>
    <n v="39.6"/>
    <n v="219.6"/>
    <x v="2"/>
    <x v="9"/>
  </r>
  <r>
    <s v="F-2025-0069"/>
    <x v="64"/>
    <s v="Finanza"/>
    <s v="Campania"/>
    <x v="5"/>
    <n v="4"/>
    <n v="5"/>
    <n v="277"/>
    <n v="1385"/>
    <n v="0.22"/>
    <n v="304.7"/>
    <n v="1689.7"/>
    <x v="1"/>
    <x v="2"/>
  </r>
  <r>
    <s v="F-2025-0070"/>
    <x v="65"/>
    <s v="Pubblica Amministrazione"/>
    <s v="Puglia"/>
    <x v="2"/>
    <n v="17"/>
    <n v="14"/>
    <n v="162"/>
    <n v="2268"/>
    <n v="0.22"/>
    <n v="498.96"/>
    <n v="2766.96"/>
    <x v="0"/>
    <x v="5"/>
  </r>
  <r>
    <s v="F-2025-0071"/>
    <x v="66"/>
    <s v="Energia"/>
    <s v="Lazio"/>
    <x v="2"/>
    <n v="30"/>
    <n v="27"/>
    <n v="196"/>
    <n v="5292"/>
    <n v="0.1"/>
    <n v="529.20000000000005"/>
    <n v="5821.2"/>
    <x v="0"/>
    <x v="7"/>
  </r>
  <r>
    <s v="F-2025-0072"/>
    <x v="67"/>
    <s v="Costruzioni"/>
    <s v="Puglia"/>
    <x v="3"/>
    <n v="69"/>
    <n v="79"/>
    <n v="74"/>
    <n v="5846"/>
    <n v="0.22"/>
    <n v="1286.1199999999999"/>
    <n v="7132.12"/>
    <x v="2"/>
    <x v="2"/>
  </r>
  <r>
    <s v="F-2025-0073"/>
    <x v="68"/>
    <s v="Pubblica Amministrazione"/>
    <s v="Veneto"/>
    <x v="0"/>
    <n v="34"/>
    <n v="42"/>
    <n v="183"/>
    <n v="7686"/>
    <n v="0.22"/>
    <n v="1690.92"/>
    <n v="9376.92"/>
    <x v="2"/>
    <x v="3"/>
  </r>
  <r>
    <s v="F-2025-0074"/>
    <x v="69"/>
    <s v="Energia"/>
    <s v="Puglia"/>
    <x v="4"/>
    <n v="87"/>
    <n v="77"/>
    <n v="238"/>
    <n v="18326"/>
    <n v="0.22"/>
    <n v="4031.72"/>
    <n v="22357.72"/>
    <x v="2"/>
    <x v="5"/>
  </r>
  <r>
    <s v="F-2025-0075"/>
    <x v="70"/>
    <s v="Sanità"/>
    <s v="Sicilia"/>
    <x v="6"/>
    <n v="68"/>
    <n v="63"/>
    <n v="155"/>
    <n v="9765"/>
    <n v="0.22"/>
    <n v="2148.3000000000002"/>
    <n v="11913.3"/>
    <x v="1"/>
    <x v="1"/>
  </r>
  <r>
    <s v="F-2025-0076"/>
    <x v="31"/>
    <s v="Tecnologia"/>
    <s v="Estero Extra UE"/>
    <x v="1"/>
    <n v="57"/>
    <n v="52"/>
    <n v="155"/>
    <n v="8060"/>
    <n v="0"/>
    <n v="0"/>
    <n v="8060"/>
    <x v="2"/>
    <x v="1"/>
  </r>
  <r>
    <s v="F-2025-0077"/>
    <x v="71"/>
    <s v="Finanza"/>
    <s v="Emilia-Romagna"/>
    <x v="2"/>
    <n v="4"/>
    <n v="4"/>
    <n v="281"/>
    <n v="1124"/>
    <n v="0.22"/>
    <n v="247.28"/>
    <n v="1371.28"/>
    <x v="1"/>
    <x v="3"/>
  </r>
  <r>
    <s v="F-2025-0078"/>
    <x v="57"/>
    <s v="Manifatturiero"/>
    <s v="Emilia-Romagna"/>
    <x v="6"/>
    <n v="19"/>
    <n v="23"/>
    <n v="290"/>
    <n v="6670"/>
    <n v="0.22"/>
    <n v="1467.4"/>
    <n v="8137.4"/>
    <x v="1"/>
    <x v="8"/>
  </r>
  <r>
    <s v="F-2025-0079"/>
    <x v="72"/>
    <s v="Retail"/>
    <s v="Campania"/>
    <x v="6"/>
    <n v="14"/>
    <n v="15"/>
    <n v="230"/>
    <n v="3450"/>
    <n v="0.22"/>
    <n v="759"/>
    <n v="4209"/>
    <x v="1"/>
    <x v="6"/>
  </r>
  <r>
    <s v="F-2025-0080"/>
    <x v="73"/>
    <s v="Energia"/>
    <s v="Emilia-Romagna"/>
    <x v="0"/>
    <n v="25"/>
    <n v="29"/>
    <n v="95"/>
    <n v="2755"/>
    <n v="0.22"/>
    <n v="606.1"/>
    <n v="3361.1"/>
    <x v="0"/>
    <x v="1"/>
  </r>
  <r>
    <s v="F-2025-0081"/>
    <x v="74"/>
    <s v="Manifatturiero"/>
    <s v="Puglia"/>
    <x v="0"/>
    <n v="15"/>
    <n v="13"/>
    <n v="219"/>
    <n v="2847"/>
    <n v="0.1"/>
    <n v="284.7"/>
    <n v="3131.7"/>
    <x v="1"/>
    <x v="8"/>
  </r>
  <r>
    <s v="F-2025-0082"/>
    <x v="75"/>
    <s v="Turismo"/>
    <s v="Estero Extra UE"/>
    <x v="5"/>
    <n v="75"/>
    <n v="71"/>
    <n v="246"/>
    <n v="17466"/>
    <n v="0"/>
    <n v="0"/>
    <n v="17466"/>
    <x v="0"/>
    <x v="9"/>
  </r>
  <r>
    <s v="F-2025-0083"/>
    <x v="76"/>
    <s v="Turismo"/>
    <s v="Estero UE"/>
    <x v="4"/>
    <n v="26"/>
    <n v="28"/>
    <n v="125"/>
    <n v="3500"/>
    <n v="0"/>
    <n v="0"/>
    <n v="3500"/>
    <x v="0"/>
    <x v="1"/>
  </r>
  <r>
    <s v="F-2025-0084"/>
    <x v="77"/>
    <s v="Pubblica Amministrazione"/>
    <s v="Sicilia"/>
    <x v="0"/>
    <n v="35"/>
    <n v="42"/>
    <n v="104"/>
    <n v="4368"/>
    <n v="0.22"/>
    <n v="960.96"/>
    <n v="5328.96"/>
    <x v="2"/>
    <x v="8"/>
  </r>
  <r>
    <s v="F-2025-0085"/>
    <x v="78"/>
    <s v="Retail"/>
    <s v="Estero Extra UE"/>
    <x v="3"/>
    <n v="57"/>
    <n v="62"/>
    <n v="244"/>
    <n v="15128"/>
    <n v="0"/>
    <n v="0"/>
    <n v="15128"/>
    <x v="0"/>
    <x v="8"/>
  </r>
  <r>
    <s v="F-2025-0086"/>
    <x v="79"/>
    <s v="Costruzioni"/>
    <s v="Sicilia"/>
    <x v="1"/>
    <n v="6"/>
    <n v="6"/>
    <n v="87"/>
    <n v="522"/>
    <n v="0.22"/>
    <n v="114.84"/>
    <n v="636.84"/>
    <x v="1"/>
    <x v="4"/>
  </r>
  <r>
    <s v="F-2025-0087"/>
    <x v="71"/>
    <s v="Sanità"/>
    <s v="Puglia"/>
    <x v="1"/>
    <n v="31"/>
    <n v="28"/>
    <n v="167"/>
    <n v="4676"/>
    <n v="0.22"/>
    <n v="1028.72"/>
    <n v="5704.72"/>
    <x v="1"/>
    <x v="2"/>
  </r>
  <r>
    <s v="F-2025-0088"/>
    <x v="80"/>
    <s v="Retail"/>
    <s v="Lazio"/>
    <x v="6"/>
    <n v="46"/>
    <n v="44"/>
    <n v="143"/>
    <n v="6292"/>
    <n v="0.22"/>
    <n v="1384.24"/>
    <n v="7676.24"/>
    <x v="0"/>
    <x v="8"/>
  </r>
  <r>
    <s v="F-2025-0089"/>
    <x v="81"/>
    <s v="Manifatturiero"/>
    <s v="Emilia-Romagna"/>
    <x v="4"/>
    <n v="35"/>
    <n v="30"/>
    <n v="249"/>
    <n v="7470"/>
    <n v="0.22"/>
    <n v="1643.4"/>
    <n v="9113.4"/>
    <x v="0"/>
    <x v="6"/>
  </r>
  <r>
    <s v="F-2025-0090"/>
    <x v="82"/>
    <s v="Turismo"/>
    <s v="Lombardia"/>
    <x v="3"/>
    <n v="74"/>
    <n v="75"/>
    <n v="187"/>
    <n v="14025"/>
    <n v="0.22"/>
    <n v="3085.5"/>
    <n v="17110.5"/>
    <x v="2"/>
    <x v="2"/>
  </r>
  <r>
    <s v="F-2025-0091"/>
    <x v="3"/>
    <s v="Turismo"/>
    <s v="Emilia-Romagna"/>
    <x v="3"/>
    <n v="53"/>
    <n v="62"/>
    <n v="284"/>
    <n v="17608"/>
    <n v="0.22"/>
    <n v="3873.76"/>
    <n v="21481.759999999998"/>
    <x v="1"/>
    <x v="2"/>
  </r>
  <r>
    <s v="F-2025-0092"/>
    <x v="83"/>
    <s v="Energia"/>
    <s v="Veneto"/>
    <x v="4"/>
    <n v="1"/>
    <n v="1"/>
    <n v="180"/>
    <n v="180"/>
    <n v="0.22"/>
    <n v="39.6"/>
    <n v="219.6"/>
    <x v="1"/>
    <x v="9"/>
  </r>
  <r>
    <s v="F-2025-0093"/>
    <x v="2"/>
    <s v="Energia"/>
    <s v="Estero UE"/>
    <x v="5"/>
    <n v="30"/>
    <n v="27"/>
    <n v="249"/>
    <n v="6723"/>
    <n v="0"/>
    <n v="0"/>
    <n v="6723"/>
    <x v="0"/>
    <x v="6"/>
  </r>
  <r>
    <s v="F-2025-0094"/>
    <x v="84"/>
    <s v="Energia"/>
    <s v="Veneto"/>
    <x v="4"/>
    <n v="79"/>
    <n v="77"/>
    <n v="292"/>
    <n v="22484"/>
    <n v="0.22"/>
    <n v="4946.4799999999996"/>
    <n v="27430.48"/>
    <x v="1"/>
    <x v="4"/>
  </r>
  <r>
    <s v="F-2025-0095"/>
    <x v="38"/>
    <s v="Sanità"/>
    <s v="Emilia-Romagna"/>
    <x v="6"/>
    <n v="3"/>
    <n v="3"/>
    <n v="162"/>
    <n v="486"/>
    <n v="0.22"/>
    <n v="106.92"/>
    <n v="592.91999999999996"/>
    <x v="2"/>
    <x v="4"/>
  </r>
  <r>
    <s v="F-2025-0096"/>
    <x v="85"/>
    <s v="Costruzioni"/>
    <s v="Lazio"/>
    <x v="6"/>
    <n v="70"/>
    <n v="70"/>
    <n v="259"/>
    <n v="18130"/>
    <n v="0.22"/>
    <n v="3988.6"/>
    <n v="22118.6"/>
    <x v="0"/>
    <x v="6"/>
  </r>
  <r>
    <s v="F-2025-0097"/>
    <x v="86"/>
    <s v="Retail"/>
    <s v="Estero Extra UE"/>
    <x v="1"/>
    <n v="27"/>
    <n v="27"/>
    <n v="196"/>
    <n v="5292"/>
    <n v="0"/>
    <n v="0"/>
    <n v="5292"/>
    <x v="0"/>
    <x v="6"/>
  </r>
  <r>
    <s v="F-2025-0098"/>
    <x v="87"/>
    <s v="Retail"/>
    <s v="Emilia-Romagna"/>
    <x v="4"/>
    <n v="60"/>
    <n v="62"/>
    <n v="224"/>
    <n v="13888"/>
    <n v="0.22"/>
    <n v="3055.36"/>
    <n v="16943.36"/>
    <x v="1"/>
    <x v="5"/>
  </r>
  <r>
    <s v="F-2025-0099"/>
    <x v="88"/>
    <s v="Turismo"/>
    <s v="Estero Extra UE"/>
    <x v="1"/>
    <n v="41"/>
    <n v="51"/>
    <n v="293"/>
    <n v="14943"/>
    <n v="0"/>
    <n v="0"/>
    <n v="14943"/>
    <x v="0"/>
    <x v="5"/>
  </r>
  <r>
    <s v="F-2025-0100"/>
    <x v="89"/>
    <s v="Costruzioni"/>
    <s v="Toscana"/>
    <x v="0"/>
    <n v="37"/>
    <n v="44"/>
    <n v="211"/>
    <n v="9284"/>
    <n v="0.22"/>
    <n v="2042.48"/>
    <n v="11326.48"/>
    <x v="0"/>
    <x v="0"/>
  </r>
  <r>
    <s v="F-2025-0101"/>
    <x v="90"/>
    <s v="Costruzioni"/>
    <s v="Lazio"/>
    <x v="5"/>
    <n v="64"/>
    <n v="79"/>
    <n v="118"/>
    <n v="9322"/>
    <n v="0.22"/>
    <n v="2050.84"/>
    <n v="11372.84"/>
    <x v="2"/>
    <x v="9"/>
  </r>
  <r>
    <s v="F-2025-0102"/>
    <x v="91"/>
    <s v="Energia"/>
    <s v="Emilia-Romagna"/>
    <x v="1"/>
    <n v="34"/>
    <n v="32"/>
    <n v="155"/>
    <n v="4960"/>
    <n v="0.22"/>
    <n v="1091.2"/>
    <n v="6051.2"/>
    <x v="0"/>
    <x v="5"/>
  </r>
  <r>
    <s v="F-2025-0103"/>
    <x v="92"/>
    <s v="Costruzioni"/>
    <s v="Estero Extra UE"/>
    <x v="5"/>
    <n v="48"/>
    <n v="52"/>
    <n v="172"/>
    <n v="8944"/>
    <n v="0"/>
    <n v="0"/>
    <n v="8944"/>
    <x v="1"/>
    <x v="9"/>
  </r>
  <r>
    <s v="F-2025-0104"/>
    <x v="93"/>
    <s v="Sanità"/>
    <s v="Puglia"/>
    <x v="6"/>
    <n v="62"/>
    <n v="62"/>
    <n v="300"/>
    <n v="18600"/>
    <n v="0.22"/>
    <n v="4092"/>
    <n v="22692"/>
    <x v="1"/>
    <x v="1"/>
  </r>
  <r>
    <s v="F-2025-0105"/>
    <x v="94"/>
    <s v="Manifatturiero"/>
    <s v="Campania"/>
    <x v="4"/>
    <n v="67"/>
    <n v="58"/>
    <n v="111"/>
    <n v="6438"/>
    <n v="0.22"/>
    <n v="1416.36"/>
    <n v="7854.36"/>
    <x v="2"/>
    <x v="7"/>
  </r>
  <r>
    <s v="F-2025-0106"/>
    <x v="95"/>
    <s v="Tecnologia"/>
    <s v="Campania"/>
    <x v="0"/>
    <n v="11"/>
    <n v="12"/>
    <n v="98"/>
    <n v="1176"/>
    <n v="0.22"/>
    <n v="258.72000000000003"/>
    <n v="1434.72"/>
    <x v="0"/>
    <x v="4"/>
  </r>
  <r>
    <s v="F-2025-0107"/>
    <x v="96"/>
    <s v="Turismo"/>
    <s v="Campania"/>
    <x v="4"/>
    <n v="2"/>
    <n v="2"/>
    <n v="190"/>
    <n v="380"/>
    <n v="0.22"/>
    <n v="83.6"/>
    <n v="463.6"/>
    <x v="2"/>
    <x v="7"/>
  </r>
  <r>
    <s v="F-2025-0108"/>
    <x v="97"/>
    <s v="Finanza"/>
    <s v="Piemonte"/>
    <x v="6"/>
    <n v="62"/>
    <n v="56"/>
    <n v="140"/>
    <n v="7840"/>
    <n v="0.22"/>
    <n v="1724.8"/>
    <n v="9564.7999999999993"/>
    <x v="2"/>
    <x v="9"/>
  </r>
  <r>
    <s v="F-2025-0109"/>
    <x v="38"/>
    <s v="Sanità"/>
    <s v="Lombardia"/>
    <x v="6"/>
    <n v="53"/>
    <n v="59"/>
    <n v="172"/>
    <n v="10148"/>
    <n v="0.1"/>
    <n v="1014.8"/>
    <n v="11162.8"/>
    <x v="1"/>
    <x v="8"/>
  </r>
  <r>
    <s v="F-2025-0110"/>
    <x v="98"/>
    <s v="Sanità"/>
    <s v="Piemonte"/>
    <x v="3"/>
    <n v="2"/>
    <n v="2"/>
    <n v="189"/>
    <n v="378"/>
    <n v="0.22"/>
    <n v="83.16"/>
    <n v="461.16"/>
    <x v="0"/>
    <x v="4"/>
  </r>
  <r>
    <s v="F-2025-0111"/>
    <x v="99"/>
    <s v="Pubblica Amministrazione"/>
    <s v="Emilia-Romagna"/>
    <x v="1"/>
    <n v="49"/>
    <n v="54"/>
    <n v="146"/>
    <n v="7884"/>
    <n v="0.22"/>
    <n v="1734.48"/>
    <n v="9618.48"/>
    <x v="2"/>
    <x v="8"/>
  </r>
  <r>
    <s v="F-2025-0112"/>
    <x v="100"/>
    <s v="Turismo"/>
    <s v="Estero Extra UE"/>
    <x v="2"/>
    <n v="1"/>
    <n v="1"/>
    <n v="206"/>
    <n v="206"/>
    <n v="0"/>
    <n v="0"/>
    <n v="206"/>
    <x v="2"/>
    <x v="8"/>
  </r>
  <r>
    <s v="F-2025-0113"/>
    <x v="101"/>
    <s v="Finanza"/>
    <s v="Piemonte"/>
    <x v="0"/>
    <n v="2"/>
    <n v="2"/>
    <n v="112"/>
    <n v="224"/>
    <n v="0.22"/>
    <n v="49.28"/>
    <n v="273.27999999999997"/>
    <x v="1"/>
    <x v="4"/>
  </r>
  <r>
    <s v="F-2025-0114"/>
    <x v="102"/>
    <s v="Turismo"/>
    <s v="Puglia"/>
    <x v="5"/>
    <n v="49"/>
    <n v="44"/>
    <n v="277"/>
    <n v="12188"/>
    <n v="0.22"/>
    <n v="2681.36"/>
    <n v="14869.36"/>
    <x v="0"/>
    <x v="1"/>
  </r>
  <r>
    <s v="F-2025-0115"/>
    <x v="103"/>
    <s v="Sanità"/>
    <s v="Sicilia"/>
    <x v="3"/>
    <n v="34"/>
    <n v="32"/>
    <n v="257"/>
    <n v="8224"/>
    <n v="0.22"/>
    <n v="1809.28"/>
    <n v="10033.280000000001"/>
    <x v="1"/>
    <x v="0"/>
  </r>
  <r>
    <s v="F-2025-0116"/>
    <x v="104"/>
    <s v="Sanità"/>
    <s v="Lazio"/>
    <x v="2"/>
    <n v="37"/>
    <n v="32"/>
    <n v="127"/>
    <n v="4064"/>
    <n v="0.22"/>
    <n v="894.08"/>
    <n v="4958.08"/>
    <x v="0"/>
    <x v="3"/>
  </r>
  <r>
    <s v="F-2025-0117"/>
    <x v="34"/>
    <s v="Retail"/>
    <s v="Sicilia"/>
    <x v="3"/>
    <n v="62"/>
    <n v="55"/>
    <n v="262"/>
    <n v="14410"/>
    <n v="0.22"/>
    <n v="3170.2"/>
    <n v="17580.2"/>
    <x v="0"/>
    <x v="9"/>
  </r>
  <r>
    <s v="F-2025-0118"/>
    <x v="105"/>
    <s v="Finanza"/>
    <s v="Emilia-Romagna"/>
    <x v="3"/>
    <n v="49"/>
    <n v="56"/>
    <n v="182"/>
    <n v="10192"/>
    <n v="0.22"/>
    <n v="2242.2399999999998"/>
    <n v="12434.24"/>
    <x v="1"/>
    <x v="4"/>
  </r>
  <r>
    <s v="F-2025-0119"/>
    <x v="106"/>
    <s v="Pubblica Amministrazione"/>
    <s v="Veneto"/>
    <x v="3"/>
    <n v="20"/>
    <n v="17"/>
    <n v="97"/>
    <n v="1649"/>
    <n v="0.22"/>
    <n v="362.78"/>
    <n v="2011.78"/>
    <x v="1"/>
    <x v="1"/>
  </r>
  <r>
    <s v="F-2025-0120"/>
    <x v="107"/>
    <s v="Tecnologia"/>
    <s v="Estero Extra UE"/>
    <x v="4"/>
    <n v="24"/>
    <n v="24"/>
    <n v="128"/>
    <n v="3072"/>
    <n v="0"/>
    <n v="0"/>
    <n v="3072"/>
    <x v="2"/>
    <x v="0"/>
  </r>
  <r>
    <s v="F-2025-0121"/>
    <x v="108"/>
    <s v="Costruzioni"/>
    <s v="Sicilia"/>
    <x v="6"/>
    <n v="79"/>
    <n v="70"/>
    <n v="273"/>
    <n v="19110"/>
    <n v="0.22"/>
    <n v="4204.2"/>
    <n v="23314.2"/>
    <x v="1"/>
    <x v="6"/>
  </r>
  <r>
    <s v="F-2025-0122"/>
    <x v="109"/>
    <s v="Turismo"/>
    <s v="Lazio"/>
    <x v="4"/>
    <n v="13"/>
    <n v="11"/>
    <n v="299"/>
    <n v="3289"/>
    <n v="0.22"/>
    <n v="723.58"/>
    <n v="4012.58"/>
    <x v="2"/>
    <x v="0"/>
  </r>
  <r>
    <s v="F-2025-0123"/>
    <x v="110"/>
    <s v="Tecnologia"/>
    <s v="Veneto"/>
    <x v="4"/>
    <n v="15"/>
    <n v="16"/>
    <n v="156"/>
    <n v="2496"/>
    <n v="0.22"/>
    <n v="549.12"/>
    <n v="3045.12"/>
    <x v="2"/>
    <x v="0"/>
  </r>
  <r>
    <s v="F-2025-0124"/>
    <x v="111"/>
    <s v="Finanza"/>
    <s v="Puglia"/>
    <x v="4"/>
    <n v="62"/>
    <n v="73"/>
    <n v="183"/>
    <n v="13359"/>
    <n v="0.22"/>
    <n v="2938.98"/>
    <n v="16297.98"/>
    <x v="0"/>
    <x v="9"/>
  </r>
  <r>
    <s v="F-2025-0125"/>
    <x v="112"/>
    <s v="Pubblica Amministrazione"/>
    <s v="Campania"/>
    <x v="6"/>
    <n v="53"/>
    <n v="59"/>
    <n v="129"/>
    <n v="7611"/>
    <n v="0.1"/>
    <n v="761.1"/>
    <n v="8372.1"/>
    <x v="2"/>
    <x v="9"/>
  </r>
  <r>
    <s v="F-2025-0126"/>
    <x v="113"/>
    <s v="Costruzioni"/>
    <s v="Estero UE"/>
    <x v="5"/>
    <n v="78"/>
    <n v="80"/>
    <n v="152"/>
    <n v="12160"/>
    <n v="0"/>
    <n v="0"/>
    <n v="12160"/>
    <x v="1"/>
    <x v="9"/>
  </r>
  <r>
    <s v="F-2025-0127"/>
    <x v="114"/>
    <s v="Retail"/>
    <s v="Estero Extra UE"/>
    <x v="0"/>
    <n v="3"/>
    <n v="3"/>
    <n v="207"/>
    <n v="621"/>
    <n v="0"/>
    <n v="0"/>
    <n v="621"/>
    <x v="2"/>
    <x v="0"/>
  </r>
  <r>
    <s v="F-2025-0128"/>
    <x v="115"/>
    <s v="Retail"/>
    <s v="Veneto"/>
    <x v="5"/>
    <n v="68"/>
    <n v="59"/>
    <n v="223"/>
    <n v="13157"/>
    <n v="0.22"/>
    <n v="2894.54"/>
    <n v="16051.54"/>
    <x v="1"/>
    <x v="2"/>
  </r>
  <r>
    <s v="F-2025-0129"/>
    <x v="116"/>
    <s v="Turismo"/>
    <s v="Piemonte"/>
    <x v="1"/>
    <n v="15"/>
    <n v="19"/>
    <n v="149"/>
    <n v="2831"/>
    <n v="0.22"/>
    <n v="622.82000000000005"/>
    <n v="3453.82"/>
    <x v="0"/>
    <x v="4"/>
  </r>
  <r>
    <s v="F-2025-0130"/>
    <x v="117"/>
    <s v="Finanza"/>
    <s v="Estero Extra UE"/>
    <x v="0"/>
    <n v="67"/>
    <n v="67"/>
    <n v="206"/>
    <n v="13802"/>
    <n v="0"/>
    <n v="0"/>
    <n v="13802"/>
    <x v="2"/>
    <x v="9"/>
  </r>
  <r>
    <s v="F-2025-0131"/>
    <x v="118"/>
    <s v="Energia"/>
    <s v="Lazio"/>
    <x v="5"/>
    <n v="19"/>
    <n v="20"/>
    <n v="155"/>
    <n v="3100"/>
    <n v="0.22"/>
    <n v="682"/>
    <n v="3782"/>
    <x v="1"/>
    <x v="4"/>
  </r>
  <r>
    <s v="F-2025-0132"/>
    <x v="119"/>
    <s v="Finanza"/>
    <s v="Lombardia"/>
    <x v="0"/>
    <n v="63"/>
    <n v="71"/>
    <n v="111"/>
    <n v="7881"/>
    <n v="0.22"/>
    <n v="1733.82"/>
    <n v="9614.82"/>
    <x v="0"/>
    <x v="9"/>
  </r>
  <r>
    <s v="F-2025-0133"/>
    <x v="120"/>
    <s v="Turismo"/>
    <s v="Lazio"/>
    <x v="6"/>
    <n v="28"/>
    <n v="33"/>
    <n v="227"/>
    <n v="7491"/>
    <n v="0.22"/>
    <n v="1648.02"/>
    <n v="9139.02"/>
    <x v="0"/>
    <x v="2"/>
  </r>
  <r>
    <s v="F-2025-0134"/>
    <x v="121"/>
    <s v="Pubblica Amministrazione"/>
    <s v="Puglia"/>
    <x v="6"/>
    <n v="36"/>
    <n v="39"/>
    <n v="141"/>
    <n v="5499"/>
    <n v="0.22"/>
    <n v="1209.78"/>
    <n v="6708.78"/>
    <x v="0"/>
    <x v="6"/>
  </r>
  <r>
    <s v="F-2025-0135"/>
    <x v="122"/>
    <s v="Sanità"/>
    <s v="Estero UE"/>
    <x v="3"/>
    <n v="1"/>
    <n v="1"/>
    <n v="70"/>
    <n v="70"/>
    <n v="0"/>
    <n v="0"/>
    <n v="70"/>
    <x v="1"/>
    <x v="0"/>
  </r>
  <r>
    <s v="F-2025-0136"/>
    <x v="123"/>
    <s v="Manifatturiero"/>
    <s v="Estero Extra UE"/>
    <x v="4"/>
    <n v="53"/>
    <n v="57"/>
    <n v="276"/>
    <n v="15732"/>
    <n v="0"/>
    <n v="0"/>
    <n v="15732"/>
    <x v="2"/>
    <x v="9"/>
  </r>
  <r>
    <s v="F-2025-0137"/>
    <x v="124"/>
    <s v="Tecnologia"/>
    <s v="Sicilia"/>
    <x v="5"/>
    <n v="50"/>
    <n v="50"/>
    <n v="210"/>
    <n v="10500"/>
    <n v="0.22"/>
    <n v="2310"/>
    <n v="12810"/>
    <x v="2"/>
    <x v="3"/>
  </r>
  <r>
    <s v="F-2025-0138"/>
    <x v="125"/>
    <s v="Turismo"/>
    <s v="Lazio"/>
    <x v="6"/>
    <n v="34"/>
    <n v="31"/>
    <n v="281"/>
    <n v="8711"/>
    <n v="0.22"/>
    <n v="1916.42"/>
    <n v="10627.42"/>
    <x v="2"/>
    <x v="7"/>
  </r>
  <r>
    <s v="F-2025-0139"/>
    <x v="126"/>
    <s v="Tecnologia"/>
    <s v="Toscana"/>
    <x v="6"/>
    <n v="40"/>
    <n v="42"/>
    <n v="158"/>
    <n v="6636"/>
    <n v="0.22"/>
    <n v="1459.92"/>
    <n v="8095.92"/>
    <x v="2"/>
    <x v="2"/>
  </r>
  <r>
    <s v="F-2025-0140"/>
    <x v="127"/>
    <s v="Turismo"/>
    <s v="Lazio"/>
    <x v="3"/>
    <n v="8"/>
    <n v="7"/>
    <n v="203"/>
    <n v="1421"/>
    <n v="0.22"/>
    <n v="312.62"/>
    <n v="1733.62"/>
    <x v="1"/>
    <x v="2"/>
  </r>
  <r>
    <s v="F-2025-0141"/>
    <x v="128"/>
    <s v="Manifatturiero"/>
    <s v="Estero Extra UE"/>
    <x v="4"/>
    <n v="71"/>
    <n v="60"/>
    <n v="172"/>
    <n v="10320"/>
    <n v="0"/>
    <n v="0"/>
    <n v="10320"/>
    <x v="0"/>
    <x v="8"/>
  </r>
  <r>
    <s v="F-2025-0142"/>
    <x v="129"/>
    <s v="Manifatturiero"/>
    <s v="Emilia-Romagna"/>
    <x v="5"/>
    <n v="2"/>
    <n v="2"/>
    <n v="188"/>
    <n v="376"/>
    <n v="0.22"/>
    <n v="82.72"/>
    <n v="458.72"/>
    <x v="2"/>
    <x v="8"/>
  </r>
  <r>
    <s v="F-2025-0143"/>
    <x v="130"/>
    <s v="Retail"/>
    <s v="Piemonte"/>
    <x v="5"/>
    <n v="48"/>
    <n v="48"/>
    <n v="199"/>
    <n v="9552"/>
    <n v="0.22"/>
    <n v="2101.44"/>
    <n v="11653.44"/>
    <x v="2"/>
    <x v="8"/>
  </r>
  <r>
    <s v="F-2025-0144"/>
    <x v="131"/>
    <s v="Finanza"/>
    <s v="Lombardia"/>
    <x v="2"/>
    <n v="64"/>
    <n v="69"/>
    <n v="96"/>
    <n v="6624"/>
    <n v="0.22"/>
    <n v="1457.28"/>
    <n v="8081.28"/>
    <x v="1"/>
    <x v="3"/>
  </r>
  <r>
    <s v="F-2025-0145"/>
    <x v="132"/>
    <s v="Pubblica Amministrazione"/>
    <s v="Lombardia"/>
    <x v="5"/>
    <n v="29"/>
    <n v="32"/>
    <n v="68"/>
    <n v="2176"/>
    <n v="0.22"/>
    <n v="478.72"/>
    <n v="2654.72"/>
    <x v="1"/>
    <x v="0"/>
  </r>
  <r>
    <s v="F-2025-0146"/>
    <x v="133"/>
    <s v="Finanza"/>
    <s v="Estero Extra UE"/>
    <x v="4"/>
    <n v="15"/>
    <n v="19"/>
    <n v="107"/>
    <n v="2033"/>
    <n v="0"/>
    <n v="0"/>
    <n v="2033"/>
    <x v="1"/>
    <x v="8"/>
  </r>
  <r>
    <s v="F-2025-0147"/>
    <x v="134"/>
    <s v="Pubblica Amministrazione"/>
    <s v="Piemonte"/>
    <x v="6"/>
    <n v="84"/>
    <n v="80"/>
    <n v="190"/>
    <n v="15200"/>
    <n v="0.22"/>
    <n v="3344"/>
    <n v="18544"/>
    <x v="2"/>
    <x v="5"/>
  </r>
  <r>
    <s v="F-2025-0148"/>
    <x v="135"/>
    <s v="Pubblica Amministrazione"/>
    <s v="Veneto"/>
    <x v="6"/>
    <n v="20"/>
    <n v="20"/>
    <n v="211"/>
    <n v="4220"/>
    <n v="0.22"/>
    <n v="928.4"/>
    <n v="5148.3999999999996"/>
    <x v="0"/>
    <x v="1"/>
  </r>
  <r>
    <s v="F-2025-0149"/>
    <x v="136"/>
    <s v="Finanza"/>
    <s v="Piemonte"/>
    <x v="4"/>
    <n v="44"/>
    <n v="54"/>
    <n v="179"/>
    <n v="9666"/>
    <n v="0.22"/>
    <n v="2126.52"/>
    <n v="11792.52"/>
    <x v="2"/>
    <x v="7"/>
  </r>
  <r>
    <s v="F-2025-0150"/>
    <x v="137"/>
    <s v="Costruzioni"/>
    <s v="Lombardia"/>
    <x v="3"/>
    <n v="30"/>
    <n v="33"/>
    <n v="211"/>
    <n v="6963"/>
    <n v="0.22"/>
    <n v="1531.86"/>
    <n v="8494.86"/>
    <x v="0"/>
    <x v="9"/>
  </r>
  <r>
    <s v="F-2025-0151"/>
    <x v="138"/>
    <s v="Tecnologia"/>
    <s v="Sicilia"/>
    <x v="5"/>
    <n v="87"/>
    <n v="75"/>
    <n v="172"/>
    <n v="12900"/>
    <n v="0.22"/>
    <n v="2838"/>
    <n v="15738"/>
    <x v="2"/>
    <x v="1"/>
  </r>
  <r>
    <s v="F-2025-0152"/>
    <x v="139"/>
    <s v="Turismo"/>
    <s v="Toscana"/>
    <x v="4"/>
    <n v="64"/>
    <n v="72"/>
    <n v="223"/>
    <n v="16056"/>
    <n v="0.22"/>
    <n v="3532.32"/>
    <n v="19588.32"/>
    <x v="0"/>
    <x v="5"/>
  </r>
  <r>
    <s v="F-2025-0153"/>
    <x v="140"/>
    <s v="Retail"/>
    <s v="Campania"/>
    <x v="1"/>
    <n v="33"/>
    <n v="38"/>
    <n v="163"/>
    <n v="6194"/>
    <n v="0.22"/>
    <n v="1362.68"/>
    <n v="7556.68"/>
    <x v="2"/>
    <x v="2"/>
  </r>
  <r>
    <s v="F-2025-0154"/>
    <x v="141"/>
    <s v="Tecnologia"/>
    <s v="Sicilia"/>
    <x v="1"/>
    <n v="25"/>
    <n v="25"/>
    <n v="152"/>
    <n v="3800"/>
    <n v="0.22"/>
    <n v="836"/>
    <n v="4636"/>
    <x v="0"/>
    <x v="7"/>
  </r>
  <r>
    <s v="F-2025-0155"/>
    <x v="142"/>
    <s v="Turismo"/>
    <s v="Lazio"/>
    <x v="5"/>
    <n v="21"/>
    <n v="18"/>
    <n v="187"/>
    <n v="3366"/>
    <n v="0.1"/>
    <n v="336.6"/>
    <n v="3702.6"/>
    <x v="1"/>
    <x v="3"/>
  </r>
  <r>
    <s v="F-2025-0156"/>
    <x v="143"/>
    <s v="Tecnologia"/>
    <s v="Lazio"/>
    <x v="6"/>
    <n v="59"/>
    <n v="66"/>
    <n v="113"/>
    <n v="7458"/>
    <n v="0.22"/>
    <n v="1640.76"/>
    <n v="9098.76"/>
    <x v="2"/>
    <x v="7"/>
  </r>
  <r>
    <s v="F-2025-0157"/>
    <x v="144"/>
    <s v="Finanza"/>
    <s v="Toscana"/>
    <x v="4"/>
    <n v="37"/>
    <n v="35"/>
    <n v="267"/>
    <n v="9345"/>
    <n v="0.22"/>
    <n v="2055.9"/>
    <n v="11400.9"/>
    <x v="0"/>
    <x v="2"/>
  </r>
  <r>
    <s v="F-2025-0158"/>
    <x v="76"/>
    <s v="Turismo"/>
    <s v="Puglia"/>
    <x v="1"/>
    <n v="67"/>
    <n v="61"/>
    <n v="228"/>
    <n v="13908"/>
    <n v="0.22"/>
    <n v="3059.76"/>
    <n v="16967.759999999998"/>
    <x v="1"/>
    <x v="4"/>
  </r>
  <r>
    <s v="F-2025-0159"/>
    <x v="145"/>
    <s v="Finanza"/>
    <s v="Campania"/>
    <x v="1"/>
    <n v="30"/>
    <n v="33"/>
    <n v="127"/>
    <n v="4191"/>
    <n v="0.22"/>
    <n v="922.02"/>
    <n v="5113.0200000000004"/>
    <x v="0"/>
    <x v="0"/>
  </r>
  <r>
    <s v="F-2025-0160"/>
    <x v="146"/>
    <s v="Tecnologia"/>
    <s v="Piemonte"/>
    <x v="1"/>
    <n v="36"/>
    <n v="33"/>
    <n v="201"/>
    <n v="6633"/>
    <n v="0.22"/>
    <n v="1459.26"/>
    <n v="8092.26"/>
    <x v="1"/>
    <x v="4"/>
  </r>
  <r>
    <s v="F-2025-0161"/>
    <x v="147"/>
    <s v="Sanità"/>
    <s v="Campania"/>
    <x v="0"/>
    <n v="20"/>
    <n v="21"/>
    <n v="107"/>
    <n v="2247"/>
    <n v="0.22"/>
    <n v="494.34"/>
    <n v="2741.34"/>
    <x v="2"/>
    <x v="9"/>
  </r>
  <r>
    <s v="F-2025-0162"/>
    <x v="148"/>
    <s v="Tecnologia"/>
    <s v="Veneto"/>
    <x v="1"/>
    <n v="21"/>
    <n v="20"/>
    <n v="187"/>
    <n v="3740"/>
    <n v="0.22"/>
    <n v="822.8"/>
    <n v="4562.8"/>
    <x v="2"/>
    <x v="9"/>
  </r>
  <r>
    <s v="F-2025-0163"/>
    <x v="100"/>
    <s v="Turismo"/>
    <s v="Estero UE"/>
    <x v="0"/>
    <n v="8"/>
    <n v="8"/>
    <n v="194"/>
    <n v="1552"/>
    <n v="0"/>
    <n v="0"/>
    <n v="1552"/>
    <x v="1"/>
    <x v="8"/>
  </r>
  <r>
    <s v="F-2025-0164"/>
    <x v="149"/>
    <s v="Turismo"/>
    <s v="Piemonte"/>
    <x v="2"/>
    <n v="68"/>
    <n v="67"/>
    <n v="204"/>
    <n v="13668"/>
    <n v="0.22"/>
    <n v="3006.96"/>
    <n v="16674.96"/>
    <x v="2"/>
    <x v="4"/>
  </r>
  <r>
    <s v="F-2025-0165"/>
    <x v="150"/>
    <s v="Finanza"/>
    <s v="Sicilia"/>
    <x v="3"/>
    <n v="28"/>
    <n v="33"/>
    <n v="235"/>
    <n v="7755"/>
    <n v="0.1"/>
    <n v="775.5"/>
    <n v="8530.5"/>
    <x v="2"/>
    <x v="2"/>
  </r>
  <r>
    <s v="F-2025-0166"/>
    <x v="151"/>
    <s v="Turismo"/>
    <s v="Piemonte"/>
    <x v="0"/>
    <n v="86"/>
    <n v="76"/>
    <n v="246"/>
    <n v="18696"/>
    <n v="0.1"/>
    <n v="1869.6"/>
    <n v="20565.599999999999"/>
    <x v="2"/>
    <x v="0"/>
  </r>
  <r>
    <s v="F-2025-0167"/>
    <x v="152"/>
    <s v="Energia"/>
    <s v="Estero UE"/>
    <x v="3"/>
    <n v="20"/>
    <n v="22"/>
    <n v="297"/>
    <n v="6534"/>
    <n v="0"/>
    <n v="0"/>
    <n v="6534"/>
    <x v="0"/>
    <x v="4"/>
  </r>
  <r>
    <s v="F-2025-0168"/>
    <x v="68"/>
    <s v="Manifatturiero"/>
    <s v="Estero Extra UE"/>
    <x v="6"/>
    <n v="26"/>
    <n v="30"/>
    <n v="97"/>
    <n v="2910"/>
    <n v="0"/>
    <n v="0"/>
    <n v="2910"/>
    <x v="2"/>
    <x v="6"/>
  </r>
  <r>
    <s v="F-2025-0169"/>
    <x v="153"/>
    <s v="Turismo"/>
    <s v="Piemonte"/>
    <x v="4"/>
    <n v="42"/>
    <n v="51"/>
    <n v="241"/>
    <n v="12291"/>
    <n v="0.22"/>
    <n v="2704.02"/>
    <n v="14995.02"/>
    <x v="0"/>
    <x v="7"/>
  </r>
  <r>
    <s v="F-2025-0170"/>
    <x v="12"/>
    <s v="Retail"/>
    <s v="Estero UE"/>
    <x v="3"/>
    <n v="8"/>
    <n v="8"/>
    <n v="86"/>
    <n v="688"/>
    <n v="0"/>
    <n v="0"/>
    <n v="688"/>
    <x v="0"/>
    <x v="3"/>
  </r>
  <r>
    <s v="F-2025-0171"/>
    <x v="154"/>
    <s v="Manifatturiero"/>
    <s v="Piemonte"/>
    <x v="4"/>
    <n v="29"/>
    <n v="27"/>
    <n v="285"/>
    <n v="7695"/>
    <n v="0.22"/>
    <n v="1692.9"/>
    <n v="9387.9"/>
    <x v="0"/>
    <x v="7"/>
  </r>
  <r>
    <s v="F-2025-0172"/>
    <x v="155"/>
    <s v="Finanza"/>
    <s v="Piemonte"/>
    <x v="3"/>
    <n v="17"/>
    <n v="21"/>
    <n v="89"/>
    <n v="1869"/>
    <n v="0.22"/>
    <n v="411.18"/>
    <n v="2280.1799999999998"/>
    <x v="1"/>
    <x v="5"/>
  </r>
  <r>
    <s v="F-2025-0173"/>
    <x v="156"/>
    <s v="Pubblica Amministrazione"/>
    <s v="Toscana"/>
    <x v="5"/>
    <n v="28"/>
    <n v="28"/>
    <n v="170"/>
    <n v="4760"/>
    <n v="0.22"/>
    <n v="1047.2"/>
    <n v="5807.2"/>
    <x v="2"/>
    <x v="3"/>
  </r>
  <r>
    <s v="F-2025-0174"/>
    <x v="157"/>
    <s v="Turismo"/>
    <s v="Piemonte"/>
    <x v="2"/>
    <n v="57"/>
    <n v="64"/>
    <n v="284"/>
    <n v="18176"/>
    <n v="0.1"/>
    <n v="1817.6"/>
    <n v="19993.599999999999"/>
    <x v="1"/>
    <x v="8"/>
  </r>
  <r>
    <s v="F-2025-0175"/>
    <x v="54"/>
    <s v="Tecnologia"/>
    <s v="Emilia-Romagna"/>
    <x v="4"/>
    <n v="73"/>
    <n v="69"/>
    <n v="120"/>
    <n v="8280"/>
    <n v="0.22"/>
    <n v="1821.6"/>
    <n v="10101.6"/>
    <x v="0"/>
    <x v="2"/>
  </r>
  <r>
    <s v="F-2025-0176"/>
    <x v="158"/>
    <s v="Finanza"/>
    <s v="Campania"/>
    <x v="1"/>
    <n v="42"/>
    <n v="48"/>
    <n v="206"/>
    <n v="9888"/>
    <n v="0.22"/>
    <n v="2175.36"/>
    <n v="12063.36"/>
    <x v="1"/>
    <x v="8"/>
  </r>
  <r>
    <s v="F-2025-0177"/>
    <x v="102"/>
    <s v="Costruzioni"/>
    <s v="Estero UE"/>
    <x v="6"/>
    <n v="4"/>
    <n v="4"/>
    <n v="94"/>
    <n v="376"/>
    <n v="0"/>
    <n v="0"/>
    <n v="376"/>
    <x v="0"/>
    <x v="7"/>
  </r>
  <r>
    <s v="F-2025-0178"/>
    <x v="159"/>
    <s v="Retail"/>
    <s v="Sicilia"/>
    <x v="1"/>
    <n v="61"/>
    <n v="64"/>
    <n v="108"/>
    <n v="6912"/>
    <n v="0.22"/>
    <n v="1520.64"/>
    <n v="8432.64"/>
    <x v="0"/>
    <x v="7"/>
  </r>
  <r>
    <s v="F-2025-0179"/>
    <x v="160"/>
    <s v="Finanza"/>
    <s v="Estero Extra UE"/>
    <x v="4"/>
    <n v="20"/>
    <n v="17"/>
    <n v="231"/>
    <n v="3927"/>
    <n v="0"/>
    <n v="0"/>
    <n v="3927"/>
    <x v="2"/>
    <x v="4"/>
  </r>
  <r>
    <s v="F-2025-0180"/>
    <x v="161"/>
    <s v="Finanza"/>
    <s v="Veneto"/>
    <x v="1"/>
    <n v="26"/>
    <n v="30"/>
    <n v="280"/>
    <n v="8400"/>
    <n v="0.1"/>
    <n v="840"/>
    <n v="9240"/>
    <x v="2"/>
    <x v="8"/>
  </r>
  <r>
    <s v="F-2025-0181"/>
    <x v="162"/>
    <s v="Finanza"/>
    <s v="Emilia-Romagna"/>
    <x v="5"/>
    <n v="43"/>
    <n v="46"/>
    <n v="176"/>
    <n v="8096"/>
    <n v="0.22"/>
    <n v="1781.12"/>
    <n v="9877.119999999999"/>
    <x v="2"/>
    <x v="7"/>
  </r>
  <r>
    <s v="F-2025-0182"/>
    <x v="163"/>
    <s v="Tecnologia"/>
    <s v="Campania"/>
    <x v="2"/>
    <n v="5"/>
    <n v="6"/>
    <n v="158"/>
    <n v="948"/>
    <n v="0.22"/>
    <n v="208.56"/>
    <n v="1156.56"/>
    <x v="2"/>
    <x v="9"/>
  </r>
  <r>
    <s v="F-2025-0183"/>
    <x v="164"/>
    <s v="Costruzioni"/>
    <s v="Lombardia"/>
    <x v="2"/>
    <n v="43"/>
    <n v="37"/>
    <n v="83"/>
    <n v="3071"/>
    <n v="0.22"/>
    <n v="675.62"/>
    <n v="3746.62"/>
    <x v="2"/>
    <x v="8"/>
  </r>
  <r>
    <s v="F-2025-0184"/>
    <x v="165"/>
    <s v="Sanità"/>
    <s v="Lazio"/>
    <x v="2"/>
    <n v="53"/>
    <n v="46"/>
    <n v="240"/>
    <n v="11040"/>
    <n v="0.22"/>
    <n v="2428.8000000000002"/>
    <n v="13468.8"/>
    <x v="0"/>
    <x v="7"/>
  </r>
  <r>
    <s v="F-2025-0185"/>
    <x v="166"/>
    <s v="Energia"/>
    <s v="Piemonte"/>
    <x v="0"/>
    <n v="54"/>
    <n v="60"/>
    <n v="284"/>
    <n v="17040"/>
    <n v="0.1"/>
    <n v="1704"/>
    <n v="18744"/>
    <x v="2"/>
    <x v="0"/>
  </r>
  <r>
    <s v="F-2025-0186"/>
    <x v="98"/>
    <s v="Manifatturiero"/>
    <s v="Lombardia"/>
    <x v="4"/>
    <n v="67"/>
    <n v="63"/>
    <n v="272"/>
    <n v="17136"/>
    <n v="0.22"/>
    <n v="3769.92"/>
    <n v="20905.919999999998"/>
    <x v="1"/>
    <x v="9"/>
  </r>
  <r>
    <s v="F-2025-0187"/>
    <x v="167"/>
    <s v="Finanza"/>
    <s v="Puglia"/>
    <x v="0"/>
    <n v="36"/>
    <n v="32"/>
    <n v="274"/>
    <n v="8768"/>
    <n v="0.22"/>
    <n v="1928.96"/>
    <n v="10696.96"/>
    <x v="1"/>
    <x v="7"/>
  </r>
  <r>
    <s v="F-2025-0188"/>
    <x v="55"/>
    <s v="Manifatturiero"/>
    <s v="Piemonte"/>
    <x v="4"/>
    <n v="34"/>
    <n v="33"/>
    <n v="126"/>
    <n v="4158"/>
    <n v="0.1"/>
    <n v="415.8"/>
    <n v="4573.8"/>
    <x v="1"/>
    <x v="1"/>
  </r>
  <r>
    <s v="F-2025-0189"/>
    <x v="151"/>
    <s v="Tecnologia"/>
    <s v="Lazio"/>
    <x v="2"/>
    <n v="18"/>
    <n v="18"/>
    <n v="84"/>
    <n v="1512"/>
    <n v="0.1"/>
    <n v="151.19999999999999"/>
    <n v="1663.2"/>
    <x v="1"/>
    <x v="6"/>
  </r>
  <r>
    <s v="F-2025-0190"/>
    <x v="168"/>
    <s v="Retail"/>
    <s v="Estero UE"/>
    <x v="3"/>
    <n v="48"/>
    <n v="54"/>
    <n v="117"/>
    <n v="6318"/>
    <n v="0"/>
    <n v="0"/>
    <n v="6318"/>
    <x v="1"/>
    <x v="3"/>
  </r>
  <r>
    <s v="F-2025-0191"/>
    <x v="25"/>
    <s v="Manifatturiero"/>
    <s v="Veneto"/>
    <x v="2"/>
    <n v="56"/>
    <n v="67"/>
    <n v="163"/>
    <n v="10921"/>
    <n v="0.22"/>
    <n v="2402.62"/>
    <n v="13323.62"/>
    <x v="1"/>
    <x v="0"/>
  </r>
  <r>
    <s v="F-2025-0192"/>
    <x v="169"/>
    <s v="Turismo"/>
    <s v="Toscana"/>
    <x v="5"/>
    <n v="53"/>
    <n v="46"/>
    <n v="83"/>
    <n v="3818"/>
    <n v="0.22"/>
    <n v="839.96"/>
    <n v="4657.96"/>
    <x v="2"/>
    <x v="1"/>
  </r>
  <r>
    <s v="F-2025-0193"/>
    <x v="160"/>
    <s v="Manifatturiero"/>
    <s v="Estero Extra UE"/>
    <x v="5"/>
    <n v="37"/>
    <n v="32"/>
    <n v="234"/>
    <n v="7488"/>
    <n v="0"/>
    <n v="0"/>
    <n v="7488"/>
    <x v="2"/>
    <x v="8"/>
  </r>
  <r>
    <s v="F-2025-0194"/>
    <x v="87"/>
    <s v="Manifatturiero"/>
    <s v="Sicilia"/>
    <x v="4"/>
    <n v="24"/>
    <n v="23"/>
    <n v="253"/>
    <n v="5819"/>
    <n v="0.22"/>
    <n v="1280.18"/>
    <n v="7099.18"/>
    <x v="0"/>
    <x v="0"/>
  </r>
  <r>
    <s v="F-2025-0195"/>
    <x v="170"/>
    <s v="Turismo"/>
    <s v="Lazio"/>
    <x v="1"/>
    <n v="25"/>
    <n v="27"/>
    <n v="293"/>
    <n v="7911"/>
    <n v="0.22"/>
    <n v="1740.42"/>
    <n v="9651.42"/>
    <x v="1"/>
    <x v="0"/>
  </r>
  <r>
    <s v="F-2025-0196"/>
    <x v="88"/>
    <s v="Costruzioni"/>
    <s v="Estero UE"/>
    <x v="2"/>
    <n v="2"/>
    <n v="2"/>
    <n v="277"/>
    <n v="554"/>
    <n v="0"/>
    <n v="0"/>
    <n v="554"/>
    <x v="0"/>
    <x v="1"/>
  </r>
  <r>
    <s v="F-2025-0197"/>
    <x v="171"/>
    <s v="Energia"/>
    <s v="Estero UE"/>
    <x v="5"/>
    <n v="19"/>
    <n v="17"/>
    <n v="163"/>
    <n v="2771"/>
    <n v="0"/>
    <n v="0"/>
    <n v="2771"/>
    <x v="2"/>
    <x v="8"/>
  </r>
  <r>
    <s v="F-2025-0198"/>
    <x v="172"/>
    <s v="Energia"/>
    <s v="Lazio"/>
    <x v="4"/>
    <n v="38"/>
    <n v="33"/>
    <n v="196"/>
    <n v="6468"/>
    <n v="0.22"/>
    <n v="1422.96"/>
    <n v="7890.96"/>
    <x v="0"/>
    <x v="1"/>
  </r>
  <r>
    <s v="F-2025-0199"/>
    <x v="173"/>
    <s v="Energia"/>
    <s v="Sicilia"/>
    <x v="0"/>
    <n v="50"/>
    <n v="43"/>
    <n v="235"/>
    <n v="10105"/>
    <n v="0.22"/>
    <n v="2223.1"/>
    <n v="12328.1"/>
    <x v="2"/>
    <x v="2"/>
  </r>
  <r>
    <s v="F-2025-0200"/>
    <x v="81"/>
    <s v="Finanza"/>
    <s v="Toscana"/>
    <x v="6"/>
    <n v="43"/>
    <n v="39"/>
    <n v="280"/>
    <n v="10920"/>
    <n v="0.22"/>
    <n v="2402.4"/>
    <n v="13322.4"/>
    <x v="2"/>
    <x v="7"/>
  </r>
  <r>
    <s v="F-2025-0201"/>
    <x v="80"/>
    <s v="Turismo"/>
    <s v="Lazio"/>
    <x v="1"/>
    <n v="44"/>
    <n v="42"/>
    <n v="85"/>
    <n v="3570"/>
    <n v="0.22"/>
    <n v="785.4"/>
    <n v="4355.3999999999996"/>
    <x v="1"/>
    <x v="2"/>
  </r>
  <r>
    <s v="F-2025-0202"/>
    <x v="174"/>
    <s v="Sanità"/>
    <s v="Veneto"/>
    <x v="5"/>
    <n v="42"/>
    <n v="50"/>
    <n v="212"/>
    <n v="10600"/>
    <n v="0.22"/>
    <n v="2332"/>
    <n v="12932"/>
    <x v="0"/>
    <x v="1"/>
  </r>
  <r>
    <s v="F-2025-0203"/>
    <x v="175"/>
    <s v="Finanza"/>
    <s v="Campania"/>
    <x v="3"/>
    <n v="21"/>
    <n v="24"/>
    <n v="72"/>
    <n v="1728"/>
    <n v="0.1"/>
    <n v="172.8"/>
    <n v="1900.8"/>
    <x v="2"/>
    <x v="6"/>
  </r>
  <r>
    <s v="F-2025-0204"/>
    <x v="176"/>
    <s v="Costruzioni"/>
    <s v="Toscana"/>
    <x v="1"/>
    <n v="70"/>
    <n v="60"/>
    <n v="194"/>
    <n v="11640"/>
    <n v="0.22"/>
    <n v="2560.8000000000002"/>
    <n v="14200.8"/>
    <x v="1"/>
    <x v="3"/>
  </r>
  <r>
    <s v="F-2025-0205"/>
    <x v="177"/>
    <s v="Retail"/>
    <s v="Lazio"/>
    <x v="3"/>
    <n v="59"/>
    <n v="57"/>
    <n v="95"/>
    <n v="5415"/>
    <n v="0.22"/>
    <n v="1191.3"/>
    <n v="6606.3"/>
    <x v="2"/>
    <x v="0"/>
  </r>
  <r>
    <s v="F-2025-0206"/>
    <x v="178"/>
    <s v="Retail"/>
    <s v="Campania"/>
    <x v="4"/>
    <n v="36"/>
    <n v="45"/>
    <n v="79"/>
    <n v="3555"/>
    <n v="0.22"/>
    <n v="782.1"/>
    <n v="4337.1000000000004"/>
    <x v="0"/>
    <x v="9"/>
  </r>
  <r>
    <s v="F-2025-0207"/>
    <x v="179"/>
    <s v="Costruzioni"/>
    <s v="Lombardia"/>
    <x v="0"/>
    <n v="55"/>
    <n v="65"/>
    <n v="67"/>
    <n v="4355"/>
    <n v="0.22"/>
    <n v="958.1"/>
    <n v="5313.1"/>
    <x v="2"/>
    <x v="7"/>
  </r>
  <r>
    <s v="F-2025-0208"/>
    <x v="61"/>
    <s v="Manifatturiero"/>
    <s v="Veneto"/>
    <x v="4"/>
    <n v="17"/>
    <n v="16"/>
    <n v="201"/>
    <n v="3216"/>
    <n v="0.22"/>
    <n v="707.52"/>
    <n v="3923.52"/>
    <x v="0"/>
    <x v="2"/>
  </r>
  <r>
    <s v="F-2025-0209"/>
    <x v="180"/>
    <s v="Tecnologia"/>
    <s v="Estero Extra UE"/>
    <x v="1"/>
    <n v="61"/>
    <n v="76"/>
    <n v="174"/>
    <n v="13224"/>
    <n v="0"/>
    <n v="0"/>
    <n v="13224"/>
    <x v="1"/>
    <x v="1"/>
  </r>
  <r>
    <s v="F-2025-0210"/>
    <x v="173"/>
    <s v="Energia"/>
    <s v="Campania"/>
    <x v="6"/>
    <n v="13"/>
    <n v="15"/>
    <n v="151"/>
    <n v="2265"/>
    <n v="0.22"/>
    <n v="498.3"/>
    <n v="2763.3"/>
    <x v="2"/>
    <x v="4"/>
  </r>
  <r>
    <s v="F-2025-0211"/>
    <x v="171"/>
    <s v="Finanza"/>
    <s v="Lombardia"/>
    <x v="0"/>
    <n v="67"/>
    <n v="66"/>
    <n v="91"/>
    <n v="6006"/>
    <n v="0.22"/>
    <n v="1321.32"/>
    <n v="7327.32"/>
    <x v="0"/>
    <x v="6"/>
  </r>
  <r>
    <s v="F-2025-0212"/>
    <x v="44"/>
    <s v="Costruzioni"/>
    <s v="Sicilia"/>
    <x v="2"/>
    <n v="68"/>
    <n v="63"/>
    <n v="145"/>
    <n v="9135"/>
    <n v="0.22"/>
    <n v="2009.7"/>
    <n v="11144.7"/>
    <x v="0"/>
    <x v="8"/>
  </r>
  <r>
    <s v="F-2025-0213"/>
    <x v="72"/>
    <s v="Costruzioni"/>
    <s v="Emilia-Romagna"/>
    <x v="4"/>
    <n v="54"/>
    <n v="51"/>
    <n v="212"/>
    <n v="10812"/>
    <n v="0.22"/>
    <n v="2378.64"/>
    <n v="13190.64"/>
    <x v="2"/>
    <x v="2"/>
  </r>
  <r>
    <s v="F-2025-0214"/>
    <x v="181"/>
    <s v="Costruzioni"/>
    <s v="Estero Extra UE"/>
    <x v="2"/>
    <n v="52"/>
    <n v="58"/>
    <n v="122"/>
    <n v="7076"/>
    <n v="0"/>
    <n v="0"/>
    <n v="7076"/>
    <x v="0"/>
    <x v="8"/>
  </r>
  <r>
    <s v="F-2025-0215"/>
    <x v="182"/>
    <s v="Costruzioni"/>
    <s v="Lombardia"/>
    <x v="0"/>
    <n v="67"/>
    <n v="62"/>
    <n v="184"/>
    <n v="11408"/>
    <n v="0.22"/>
    <n v="2509.7600000000002"/>
    <n v="13917.76"/>
    <x v="0"/>
    <x v="6"/>
  </r>
  <r>
    <s v="F-2025-0216"/>
    <x v="183"/>
    <s v="Retail"/>
    <s v="Piemonte"/>
    <x v="0"/>
    <n v="20"/>
    <n v="22"/>
    <n v="117"/>
    <n v="2574"/>
    <n v="0.22"/>
    <n v="566.28"/>
    <n v="3140.28"/>
    <x v="2"/>
    <x v="4"/>
  </r>
  <r>
    <s v="F-2025-0217"/>
    <x v="184"/>
    <s v="Finanza"/>
    <s v="Lombardia"/>
    <x v="6"/>
    <n v="54"/>
    <n v="58"/>
    <n v="145"/>
    <n v="8410"/>
    <n v="0.22"/>
    <n v="1850.2"/>
    <n v="10260.200000000001"/>
    <x v="1"/>
    <x v="3"/>
  </r>
  <r>
    <s v="F-2025-0218"/>
    <x v="82"/>
    <s v="Pubblica Amministrazione"/>
    <s v="Emilia-Romagna"/>
    <x v="5"/>
    <n v="54"/>
    <n v="49"/>
    <n v="239"/>
    <n v="11711"/>
    <n v="0.22"/>
    <n v="2576.42"/>
    <n v="14287.42"/>
    <x v="0"/>
    <x v="7"/>
  </r>
  <r>
    <s v="F-2025-0219"/>
    <x v="185"/>
    <s v="Energia"/>
    <s v="Lombardia"/>
    <x v="6"/>
    <n v="45"/>
    <n v="42"/>
    <n v="129"/>
    <n v="5418"/>
    <n v="0.22"/>
    <n v="1191.96"/>
    <n v="6609.96"/>
    <x v="1"/>
    <x v="7"/>
  </r>
  <r>
    <s v="F-2025-0220"/>
    <x v="113"/>
    <s v="Energia"/>
    <s v="Estero Extra UE"/>
    <x v="6"/>
    <n v="17"/>
    <n v="15"/>
    <n v="113"/>
    <n v="1695"/>
    <n v="0"/>
    <n v="0"/>
    <n v="1695"/>
    <x v="2"/>
    <x v="0"/>
  </r>
  <r>
    <s v="F-2025-0221"/>
    <x v="186"/>
    <s v="Manifatturiero"/>
    <s v="Toscana"/>
    <x v="0"/>
    <n v="64"/>
    <n v="60"/>
    <n v="160"/>
    <n v="9600"/>
    <n v="0.22"/>
    <n v="2112"/>
    <n v="11712"/>
    <x v="0"/>
    <x v="8"/>
  </r>
  <r>
    <s v="F-2025-0222"/>
    <x v="187"/>
    <s v="Finanza"/>
    <s v="Campania"/>
    <x v="4"/>
    <n v="8"/>
    <n v="8"/>
    <n v="112"/>
    <n v="896"/>
    <n v="0.22"/>
    <n v="197.12"/>
    <n v="1093.1199999999999"/>
    <x v="2"/>
    <x v="9"/>
  </r>
  <r>
    <s v="F-2025-0223"/>
    <x v="188"/>
    <s v="Pubblica Amministrazione"/>
    <s v="Lazio"/>
    <x v="6"/>
    <n v="50"/>
    <n v="60"/>
    <n v="295"/>
    <n v="17700"/>
    <n v="0.1"/>
    <n v="1770"/>
    <n v="19470"/>
    <x v="0"/>
    <x v="7"/>
  </r>
  <r>
    <s v="F-2025-0224"/>
    <x v="160"/>
    <s v="Sanità"/>
    <s v="Veneto"/>
    <x v="1"/>
    <n v="5"/>
    <n v="5"/>
    <n v="162"/>
    <n v="810"/>
    <n v="0.22"/>
    <n v="178.2"/>
    <n v="988.2"/>
    <x v="1"/>
    <x v="1"/>
  </r>
  <r>
    <s v="F-2025-0225"/>
    <x v="189"/>
    <s v="Retail"/>
    <s v="Toscana"/>
    <x v="3"/>
    <n v="62"/>
    <n v="68"/>
    <n v="65"/>
    <n v="4420"/>
    <n v="0.22"/>
    <n v="972.4"/>
    <n v="5392.4"/>
    <x v="0"/>
    <x v="3"/>
  </r>
  <r>
    <s v="F-2025-0226"/>
    <x v="165"/>
    <s v="Finanza"/>
    <s v="Veneto"/>
    <x v="3"/>
    <n v="42"/>
    <n v="47"/>
    <n v="158"/>
    <n v="7426"/>
    <n v="0.22"/>
    <n v="1633.72"/>
    <n v="9059.7199999999993"/>
    <x v="0"/>
    <x v="3"/>
  </r>
  <r>
    <s v="F-2025-0227"/>
    <x v="54"/>
    <s v="Tecnologia"/>
    <s v="Estero Extra UE"/>
    <x v="6"/>
    <n v="65"/>
    <n v="55"/>
    <n v="227"/>
    <n v="12485"/>
    <n v="0"/>
    <n v="0"/>
    <n v="12485"/>
    <x v="2"/>
    <x v="9"/>
  </r>
  <r>
    <s v="F-2025-0228"/>
    <x v="190"/>
    <s v="Sanità"/>
    <s v="Estero Extra UE"/>
    <x v="3"/>
    <n v="50"/>
    <n v="52"/>
    <n v="203"/>
    <n v="10556"/>
    <n v="0"/>
    <n v="0"/>
    <n v="10556"/>
    <x v="1"/>
    <x v="8"/>
  </r>
  <r>
    <s v="F-2025-0229"/>
    <x v="29"/>
    <s v="Turismo"/>
    <s v="Sicilia"/>
    <x v="2"/>
    <n v="15"/>
    <n v="13"/>
    <n v="173"/>
    <n v="2249"/>
    <n v="0.22"/>
    <n v="494.78"/>
    <n v="2743.78"/>
    <x v="2"/>
    <x v="9"/>
  </r>
  <r>
    <s v="F-2025-0230"/>
    <x v="191"/>
    <s v="Sanità"/>
    <s v="Puglia"/>
    <x v="1"/>
    <n v="32"/>
    <n v="30"/>
    <n v="206"/>
    <n v="6180"/>
    <n v="0.22"/>
    <n v="1359.6"/>
    <n v="7539.6"/>
    <x v="2"/>
    <x v="6"/>
  </r>
  <r>
    <s v="F-2025-0231"/>
    <x v="42"/>
    <s v="Sanità"/>
    <s v="Piemonte"/>
    <x v="1"/>
    <n v="19"/>
    <n v="17"/>
    <n v="179"/>
    <n v="3043"/>
    <n v="0.22"/>
    <n v="669.46"/>
    <n v="3712.46"/>
    <x v="1"/>
    <x v="9"/>
  </r>
  <r>
    <s v="F-2025-0232"/>
    <x v="137"/>
    <s v="Energia"/>
    <s v="Sicilia"/>
    <x v="5"/>
    <n v="63"/>
    <n v="63"/>
    <n v="78"/>
    <n v="4914"/>
    <n v="0.22"/>
    <n v="1081.08"/>
    <n v="5995.08"/>
    <x v="0"/>
    <x v="6"/>
  </r>
  <r>
    <s v="F-2025-0233"/>
    <x v="192"/>
    <s v="Retail"/>
    <s v="Toscana"/>
    <x v="5"/>
    <n v="60"/>
    <n v="58"/>
    <n v="242"/>
    <n v="14036"/>
    <n v="0.22"/>
    <n v="3087.92"/>
    <n v="17123.919999999998"/>
    <x v="1"/>
    <x v="6"/>
  </r>
  <r>
    <s v="F-2025-0234"/>
    <x v="116"/>
    <s v="Finanza"/>
    <s v="Toscana"/>
    <x v="2"/>
    <n v="62"/>
    <n v="62"/>
    <n v="82"/>
    <n v="5084"/>
    <n v="0.22"/>
    <n v="1118.48"/>
    <n v="6202.48"/>
    <x v="0"/>
    <x v="3"/>
  </r>
  <r>
    <s v="F-2025-0235"/>
    <x v="193"/>
    <s v="Retail"/>
    <s v="Sicilia"/>
    <x v="6"/>
    <n v="8"/>
    <n v="9"/>
    <n v="199"/>
    <n v="1791"/>
    <n v="0.22"/>
    <n v="394.02"/>
    <n v="2185.02"/>
    <x v="0"/>
    <x v="3"/>
  </r>
  <r>
    <s v="F-2025-0236"/>
    <x v="66"/>
    <s v="Sanità"/>
    <s v="Piemonte"/>
    <x v="6"/>
    <n v="1"/>
    <n v="1"/>
    <n v="117"/>
    <n v="117"/>
    <n v="0.22"/>
    <n v="25.74"/>
    <n v="142.74"/>
    <x v="2"/>
    <x v="9"/>
  </r>
  <r>
    <s v="F-2025-0237"/>
    <x v="194"/>
    <s v="Sanità"/>
    <s v="Lazio"/>
    <x v="3"/>
    <n v="1"/>
    <n v="1"/>
    <n v="298"/>
    <n v="298"/>
    <n v="0.22"/>
    <n v="65.56"/>
    <n v="363.56"/>
    <x v="0"/>
    <x v="2"/>
  </r>
  <r>
    <s v="F-2025-0238"/>
    <x v="195"/>
    <s v="Costruzioni"/>
    <s v="Estero Extra UE"/>
    <x v="5"/>
    <n v="28"/>
    <n v="34"/>
    <n v="155"/>
    <n v="5270"/>
    <n v="0"/>
    <n v="0"/>
    <n v="5270"/>
    <x v="1"/>
    <x v="7"/>
  </r>
  <r>
    <s v="F-2025-0239"/>
    <x v="44"/>
    <s v="Tecnologia"/>
    <s v="Toscana"/>
    <x v="3"/>
    <n v="51"/>
    <n v="48"/>
    <n v="148"/>
    <n v="7104"/>
    <n v="0.1"/>
    <n v="710.4"/>
    <n v="7814.4"/>
    <x v="0"/>
    <x v="2"/>
  </r>
  <r>
    <s v="F-2025-0240"/>
    <x v="196"/>
    <s v="Finanza"/>
    <s v="Piemonte"/>
    <x v="5"/>
    <n v="1"/>
    <n v="1"/>
    <n v="75"/>
    <n v="75"/>
    <n v="0.22"/>
    <n v="16.5"/>
    <n v="91.5"/>
    <x v="2"/>
    <x v="3"/>
  </r>
  <r>
    <s v="F-2025-0241"/>
    <x v="182"/>
    <s v="Finanza"/>
    <s v="Estero Extra UE"/>
    <x v="2"/>
    <n v="72"/>
    <n v="61"/>
    <n v="290"/>
    <n v="17690"/>
    <n v="0"/>
    <n v="0"/>
    <n v="17690"/>
    <x v="2"/>
    <x v="1"/>
  </r>
  <r>
    <s v="F-2025-0242"/>
    <x v="187"/>
    <s v="Manifatturiero"/>
    <s v="Toscana"/>
    <x v="3"/>
    <n v="76"/>
    <n v="64"/>
    <n v="250"/>
    <n v="16000"/>
    <n v="0.22"/>
    <n v="3520"/>
    <n v="19520"/>
    <x v="1"/>
    <x v="7"/>
  </r>
  <r>
    <s v="F-2025-0243"/>
    <x v="197"/>
    <s v="Retail"/>
    <s v="Emilia-Romagna"/>
    <x v="0"/>
    <n v="80"/>
    <n v="69"/>
    <n v="81"/>
    <n v="5589"/>
    <n v="0.22"/>
    <n v="1229.58"/>
    <n v="6818.58"/>
    <x v="2"/>
    <x v="0"/>
  </r>
  <r>
    <s v="F-2025-0244"/>
    <x v="137"/>
    <s v="Pubblica Amministrazione"/>
    <s v="Puglia"/>
    <x v="1"/>
    <n v="64"/>
    <n v="67"/>
    <n v="135"/>
    <n v="9045"/>
    <n v="0.22"/>
    <n v="1989.9"/>
    <n v="11034.9"/>
    <x v="0"/>
    <x v="3"/>
  </r>
  <r>
    <s v="F-2025-0245"/>
    <x v="198"/>
    <s v="Tecnologia"/>
    <s v="Veneto"/>
    <x v="0"/>
    <n v="21"/>
    <n v="26"/>
    <n v="203"/>
    <n v="5278"/>
    <n v="0.22"/>
    <n v="1161.1600000000001"/>
    <n v="6439.16"/>
    <x v="0"/>
    <x v="3"/>
  </r>
  <r>
    <s v="F-2025-0246"/>
    <x v="199"/>
    <s v="Manifatturiero"/>
    <s v="Campania"/>
    <x v="3"/>
    <n v="60"/>
    <n v="51"/>
    <n v="288"/>
    <n v="14688"/>
    <n v="0.22"/>
    <n v="3231.36"/>
    <n v="17919.36"/>
    <x v="1"/>
    <x v="8"/>
  </r>
  <r>
    <s v="F-2025-0247"/>
    <x v="200"/>
    <s v="Turismo"/>
    <s v="Emilia-Romagna"/>
    <x v="5"/>
    <n v="55"/>
    <n v="57"/>
    <n v="88"/>
    <n v="5016"/>
    <n v="0.22"/>
    <n v="1103.52"/>
    <n v="6119.52"/>
    <x v="2"/>
    <x v="5"/>
  </r>
  <r>
    <s v="F-2025-0248"/>
    <x v="201"/>
    <s v="Turismo"/>
    <s v="Sicilia"/>
    <x v="4"/>
    <n v="93"/>
    <n v="78"/>
    <n v="279"/>
    <n v="21762"/>
    <n v="0.22"/>
    <n v="4787.6400000000003"/>
    <n v="26549.64"/>
    <x v="2"/>
    <x v="1"/>
  </r>
  <r>
    <s v="F-2025-0249"/>
    <x v="202"/>
    <s v="Energia"/>
    <s v="Veneto"/>
    <x v="4"/>
    <n v="82"/>
    <n v="69"/>
    <n v="106"/>
    <n v="7314"/>
    <n v="0.22"/>
    <n v="1609.08"/>
    <n v="8923.08"/>
    <x v="0"/>
    <x v="3"/>
  </r>
  <r>
    <s v="F-2025-0250"/>
    <x v="151"/>
    <s v="Manifatturiero"/>
    <s v="Estero Extra UE"/>
    <x v="6"/>
    <n v="71"/>
    <n v="62"/>
    <n v="256"/>
    <n v="15872"/>
    <n v="0"/>
    <n v="0"/>
    <n v="15872"/>
    <x v="2"/>
    <x v="1"/>
  </r>
  <r>
    <s v="F-2025-0251"/>
    <x v="203"/>
    <s v="Pubblica Amministrazione"/>
    <s v="Lazio"/>
    <x v="3"/>
    <n v="70"/>
    <n v="76"/>
    <n v="203"/>
    <n v="15428"/>
    <n v="0.22"/>
    <n v="3394.16"/>
    <n v="18822.16"/>
    <x v="1"/>
    <x v="4"/>
  </r>
  <r>
    <s v="F-2025-0252"/>
    <x v="192"/>
    <s v="Pubblica Amministrazione"/>
    <s v="Veneto"/>
    <x v="4"/>
    <n v="46"/>
    <n v="48"/>
    <n v="144"/>
    <n v="6912"/>
    <n v="0.22"/>
    <n v="1520.64"/>
    <n v="8432.64"/>
    <x v="1"/>
    <x v="8"/>
  </r>
  <r>
    <s v="F-2025-0253"/>
    <x v="204"/>
    <s v="Manifatturiero"/>
    <s v="Campania"/>
    <x v="1"/>
    <n v="44"/>
    <n v="39"/>
    <n v="159"/>
    <n v="6201"/>
    <n v="0.22"/>
    <n v="1364.22"/>
    <n v="7565.22"/>
    <x v="2"/>
    <x v="5"/>
  </r>
  <r>
    <s v="F-2025-0254"/>
    <x v="141"/>
    <s v="Finanza"/>
    <s v="Toscana"/>
    <x v="0"/>
    <n v="31"/>
    <n v="33"/>
    <n v="281"/>
    <n v="9273"/>
    <n v="0.22"/>
    <n v="2040.06"/>
    <n v="11313.06"/>
    <x v="1"/>
    <x v="7"/>
  </r>
  <r>
    <s v="F-2025-0255"/>
    <x v="205"/>
    <s v="Tecnologia"/>
    <s v="Lombardia"/>
    <x v="3"/>
    <n v="20"/>
    <n v="23"/>
    <n v="69"/>
    <n v="1587"/>
    <n v="0.1"/>
    <n v="158.69999999999999"/>
    <n v="1745.7"/>
    <x v="2"/>
    <x v="3"/>
  </r>
  <r>
    <s v="F-2025-0256"/>
    <x v="206"/>
    <s v="Turismo"/>
    <s v="Estero UE"/>
    <x v="1"/>
    <n v="71"/>
    <n v="69"/>
    <n v="159"/>
    <n v="10971"/>
    <n v="0"/>
    <n v="0"/>
    <n v="10971"/>
    <x v="1"/>
    <x v="6"/>
  </r>
  <r>
    <s v="F-2025-0257"/>
    <x v="207"/>
    <s v="Retail"/>
    <s v="Veneto"/>
    <x v="5"/>
    <n v="40"/>
    <n v="34"/>
    <n v="239"/>
    <n v="8126"/>
    <n v="0.1"/>
    <n v="812.6"/>
    <n v="8938.6"/>
    <x v="0"/>
    <x v="1"/>
  </r>
  <r>
    <s v="F-2025-0258"/>
    <x v="39"/>
    <s v="Finanza"/>
    <s v="Piemonte"/>
    <x v="0"/>
    <n v="11"/>
    <n v="10"/>
    <n v="206"/>
    <n v="2060"/>
    <n v="0.22"/>
    <n v="453.2"/>
    <n v="2513.1999999999998"/>
    <x v="1"/>
    <x v="5"/>
  </r>
  <r>
    <s v="F-2025-0259"/>
    <x v="163"/>
    <s v="Turismo"/>
    <s v="Lazio"/>
    <x v="1"/>
    <n v="60"/>
    <n v="58"/>
    <n v="155"/>
    <n v="8990"/>
    <n v="0.22"/>
    <n v="1977.8"/>
    <n v="10967.8"/>
    <x v="2"/>
    <x v="9"/>
  </r>
  <r>
    <s v="F-2025-0260"/>
    <x v="208"/>
    <s v="Pubblica Amministrazione"/>
    <s v="Estero UE"/>
    <x v="0"/>
    <n v="1"/>
    <n v="1"/>
    <n v="128"/>
    <n v="128"/>
    <n v="0"/>
    <n v="0"/>
    <n v="128"/>
    <x v="0"/>
    <x v="3"/>
  </r>
  <r>
    <s v="F-2025-0261"/>
    <x v="134"/>
    <s v="Energia"/>
    <s v="Lombardia"/>
    <x v="5"/>
    <n v="4"/>
    <n v="4"/>
    <n v="75"/>
    <n v="300"/>
    <n v="0.22"/>
    <n v="66"/>
    <n v="366"/>
    <x v="0"/>
    <x v="2"/>
  </r>
  <r>
    <s v="F-2025-0262"/>
    <x v="209"/>
    <s v="Finanza"/>
    <s v="Puglia"/>
    <x v="3"/>
    <n v="29"/>
    <n v="24"/>
    <n v="139"/>
    <n v="3336"/>
    <n v="0.22"/>
    <n v="733.92"/>
    <n v="4069.92"/>
    <x v="0"/>
    <x v="1"/>
  </r>
  <r>
    <s v="F-2025-0263"/>
    <x v="137"/>
    <s v="Pubblica Amministrazione"/>
    <s v="Puglia"/>
    <x v="1"/>
    <n v="2"/>
    <n v="2"/>
    <n v="300"/>
    <n v="600"/>
    <n v="0.22"/>
    <n v="132"/>
    <n v="732"/>
    <x v="2"/>
    <x v="6"/>
  </r>
  <r>
    <s v="F-2025-0264"/>
    <x v="210"/>
    <s v="Sanità"/>
    <s v="Piemonte"/>
    <x v="2"/>
    <n v="32"/>
    <n v="32"/>
    <n v="278"/>
    <n v="8896"/>
    <n v="0.22"/>
    <n v="1957.12"/>
    <n v="10853.12"/>
    <x v="1"/>
    <x v="7"/>
  </r>
  <r>
    <s v="F-2025-0265"/>
    <x v="100"/>
    <s v="Finanza"/>
    <s v="Estero UE"/>
    <x v="2"/>
    <n v="28"/>
    <n v="24"/>
    <n v="199"/>
    <n v="4776"/>
    <n v="0"/>
    <n v="0"/>
    <n v="4776"/>
    <x v="2"/>
    <x v="3"/>
  </r>
  <r>
    <s v="F-2025-0266"/>
    <x v="211"/>
    <s v="Sanità"/>
    <s v="Puglia"/>
    <x v="3"/>
    <n v="55"/>
    <n v="50"/>
    <n v="222"/>
    <n v="11100"/>
    <n v="0.22"/>
    <n v="2442"/>
    <n v="13542"/>
    <x v="1"/>
    <x v="8"/>
  </r>
  <r>
    <s v="F-2025-0267"/>
    <x v="212"/>
    <s v="Tecnologia"/>
    <s v="Veneto"/>
    <x v="1"/>
    <n v="36"/>
    <n v="33"/>
    <n v="220"/>
    <n v="7260"/>
    <n v="0.22"/>
    <n v="1597.2"/>
    <n v="8857.2000000000007"/>
    <x v="2"/>
    <x v="6"/>
  </r>
  <r>
    <s v="F-2025-0268"/>
    <x v="7"/>
    <s v="Retail"/>
    <s v="Lombardia"/>
    <x v="4"/>
    <n v="66"/>
    <n v="61"/>
    <n v="238"/>
    <n v="14518"/>
    <n v="0.22"/>
    <n v="3193.96"/>
    <n v="17711.96"/>
    <x v="1"/>
    <x v="7"/>
  </r>
  <r>
    <s v="F-2025-0269"/>
    <x v="213"/>
    <s v="Pubblica Amministrazione"/>
    <s v="Campania"/>
    <x v="4"/>
    <n v="41"/>
    <n v="43"/>
    <n v="160"/>
    <n v="6880"/>
    <n v="0.22"/>
    <n v="1513.6"/>
    <n v="8393.6"/>
    <x v="2"/>
    <x v="6"/>
  </r>
  <r>
    <s v="F-2025-0270"/>
    <x v="214"/>
    <s v="Costruzioni"/>
    <s v="Toscana"/>
    <x v="4"/>
    <n v="11"/>
    <n v="12"/>
    <n v="126"/>
    <n v="1512"/>
    <n v="0.22"/>
    <n v="332.64"/>
    <n v="1844.64"/>
    <x v="0"/>
    <x v="7"/>
  </r>
  <r>
    <s v="F-2025-0271"/>
    <x v="215"/>
    <s v="Finanza"/>
    <s v="Toscana"/>
    <x v="6"/>
    <n v="73"/>
    <n v="65"/>
    <n v="220"/>
    <n v="14300"/>
    <n v="0.1"/>
    <n v="1430"/>
    <n v="15730"/>
    <x v="0"/>
    <x v="8"/>
  </r>
  <r>
    <s v="F-2025-0272"/>
    <x v="141"/>
    <s v="Sanità"/>
    <s v="Veneto"/>
    <x v="6"/>
    <n v="45"/>
    <n v="40"/>
    <n v="133"/>
    <n v="5320"/>
    <n v="0.22"/>
    <n v="1170.4000000000001"/>
    <n v="6490.4"/>
    <x v="2"/>
    <x v="1"/>
  </r>
  <r>
    <s v="F-2025-0273"/>
    <x v="58"/>
    <s v="Finanza"/>
    <s v="Campania"/>
    <x v="1"/>
    <n v="49"/>
    <n v="43"/>
    <n v="103"/>
    <n v="4429"/>
    <n v="0.22"/>
    <n v="974.38"/>
    <n v="5403.38"/>
    <x v="1"/>
    <x v="1"/>
  </r>
  <r>
    <s v="F-2025-0274"/>
    <x v="7"/>
    <s v="Sanità"/>
    <s v="Lazio"/>
    <x v="1"/>
    <n v="34"/>
    <n v="29"/>
    <n v="200"/>
    <n v="5800"/>
    <n v="0.22"/>
    <n v="1276"/>
    <n v="7076"/>
    <x v="2"/>
    <x v="4"/>
  </r>
  <r>
    <s v="F-2025-0275"/>
    <x v="216"/>
    <s v="Energia"/>
    <s v="Veneto"/>
    <x v="2"/>
    <n v="12"/>
    <n v="12"/>
    <n v="154"/>
    <n v="1848"/>
    <n v="0.22"/>
    <n v="406.56"/>
    <n v="2254.56"/>
    <x v="2"/>
    <x v="6"/>
  </r>
  <r>
    <s v="F-2025-0276"/>
    <x v="217"/>
    <s v="Energia"/>
    <s v="Piemonte"/>
    <x v="2"/>
    <n v="46"/>
    <n v="46"/>
    <n v="189"/>
    <n v="8694"/>
    <n v="0.1"/>
    <n v="869.4"/>
    <n v="9563.4"/>
    <x v="1"/>
    <x v="0"/>
  </r>
  <r>
    <s v="F-2025-0277"/>
    <x v="218"/>
    <s v="Sanità"/>
    <s v="Puglia"/>
    <x v="4"/>
    <n v="39"/>
    <n v="35"/>
    <n v="274"/>
    <n v="9590"/>
    <n v="0.22"/>
    <n v="2109.8000000000002"/>
    <n v="11699.8"/>
    <x v="1"/>
    <x v="6"/>
  </r>
  <r>
    <s v="F-2025-0278"/>
    <x v="219"/>
    <s v="Turismo"/>
    <s v="Lombardia"/>
    <x v="0"/>
    <n v="8"/>
    <n v="8"/>
    <n v="152"/>
    <n v="1216"/>
    <n v="0.22"/>
    <n v="267.52"/>
    <n v="1483.52"/>
    <x v="0"/>
    <x v="7"/>
  </r>
  <r>
    <s v="F-2025-0279"/>
    <x v="187"/>
    <s v="Energia"/>
    <s v="Estero UE"/>
    <x v="1"/>
    <n v="28"/>
    <n v="26"/>
    <n v="261"/>
    <n v="6786"/>
    <n v="0"/>
    <n v="0"/>
    <n v="6786"/>
    <x v="0"/>
    <x v="3"/>
  </r>
  <r>
    <s v="F-2025-0280"/>
    <x v="192"/>
    <s v="Sanità"/>
    <s v="Toscana"/>
    <x v="6"/>
    <n v="38"/>
    <n v="34"/>
    <n v="174"/>
    <n v="5916"/>
    <n v="0.22"/>
    <n v="1301.52"/>
    <n v="7217.52"/>
    <x v="0"/>
    <x v="3"/>
  </r>
  <r>
    <s v="F-2025-0281"/>
    <x v="220"/>
    <s v="Sanità"/>
    <s v="Campania"/>
    <x v="3"/>
    <n v="8"/>
    <n v="7"/>
    <n v="255"/>
    <n v="1785"/>
    <n v="0.22"/>
    <n v="392.7"/>
    <n v="2177.6999999999998"/>
    <x v="1"/>
    <x v="0"/>
  </r>
  <r>
    <s v="F-2025-0282"/>
    <x v="179"/>
    <s v="Tecnologia"/>
    <s v="Sicilia"/>
    <x v="5"/>
    <n v="54"/>
    <n v="58"/>
    <n v="173"/>
    <n v="10034"/>
    <n v="0.22"/>
    <n v="2207.48"/>
    <n v="12241.48"/>
    <x v="0"/>
    <x v="0"/>
  </r>
  <r>
    <s v="F-2025-0283"/>
    <x v="221"/>
    <s v="Costruzioni"/>
    <s v="Sicilia"/>
    <x v="0"/>
    <n v="71"/>
    <n v="75"/>
    <n v="216"/>
    <n v="16200"/>
    <n v="0.1"/>
    <n v="1620"/>
    <n v="17820"/>
    <x v="2"/>
    <x v="8"/>
  </r>
  <r>
    <s v="F-2025-0284"/>
    <x v="59"/>
    <s v="Finanza"/>
    <s v="Veneto"/>
    <x v="4"/>
    <n v="30"/>
    <n v="36"/>
    <n v="276"/>
    <n v="9936"/>
    <n v="0.22"/>
    <n v="2185.92"/>
    <n v="12121.92"/>
    <x v="1"/>
    <x v="8"/>
  </r>
  <r>
    <s v="F-2025-0285"/>
    <x v="1"/>
    <s v="Sanità"/>
    <s v="Estero Extra UE"/>
    <x v="3"/>
    <n v="22"/>
    <n v="21"/>
    <n v="223"/>
    <n v="4683"/>
    <n v="0"/>
    <n v="0"/>
    <n v="4683"/>
    <x v="0"/>
    <x v="0"/>
  </r>
  <r>
    <s v="F-2025-0286"/>
    <x v="222"/>
    <s v="Costruzioni"/>
    <s v="Veneto"/>
    <x v="2"/>
    <n v="8"/>
    <n v="10"/>
    <n v="160"/>
    <n v="1600"/>
    <n v="0.22"/>
    <n v="352"/>
    <n v="1952"/>
    <x v="0"/>
    <x v="3"/>
  </r>
  <r>
    <s v="F-2025-0287"/>
    <x v="187"/>
    <s v="Pubblica Amministrazione"/>
    <s v="Emilia-Romagna"/>
    <x v="1"/>
    <n v="72"/>
    <n v="73"/>
    <n v="211"/>
    <n v="15403"/>
    <n v="0.1"/>
    <n v="1540.3"/>
    <n v="16943.3"/>
    <x v="1"/>
    <x v="5"/>
  </r>
  <r>
    <s v="F-2025-0288"/>
    <x v="223"/>
    <s v="Manifatturiero"/>
    <s v="Toscana"/>
    <x v="5"/>
    <n v="65"/>
    <n v="64"/>
    <n v="286"/>
    <n v="18304"/>
    <n v="0.22"/>
    <n v="4026.88"/>
    <n v="22330.880000000001"/>
    <x v="2"/>
    <x v="1"/>
  </r>
  <r>
    <s v="F-2025-0289"/>
    <x v="196"/>
    <s v="Finanza"/>
    <s v="Lazio"/>
    <x v="3"/>
    <n v="45"/>
    <n v="49"/>
    <n v="158"/>
    <n v="7742"/>
    <n v="0.22"/>
    <n v="1703.24"/>
    <n v="9445.24"/>
    <x v="0"/>
    <x v="8"/>
  </r>
  <r>
    <s v="F-2025-0290"/>
    <x v="224"/>
    <s v="Energia"/>
    <s v="Campania"/>
    <x v="4"/>
    <n v="37"/>
    <n v="36"/>
    <n v="269"/>
    <n v="9684"/>
    <n v="0.22"/>
    <n v="2130.48"/>
    <n v="11814.48"/>
    <x v="1"/>
    <x v="7"/>
  </r>
  <r>
    <s v="F-2025-0291"/>
    <x v="47"/>
    <s v="Turismo"/>
    <s v="Sicilia"/>
    <x v="2"/>
    <n v="19"/>
    <n v="24"/>
    <n v="210"/>
    <n v="5040"/>
    <n v="0.22"/>
    <n v="1108.8"/>
    <n v="6148.8"/>
    <x v="1"/>
    <x v="1"/>
  </r>
  <r>
    <s v="F-2025-0292"/>
    <x v="225"/>
    <s v="Tecnologia"/>
    <s v="Campania"/>
    <x v="5"/>
    <n v="51"/>
    <n v="62"/>
    <n v="283"/>
    <n v="17546"/>
    <n v="0.1"/>
    <n v="1754.6"/>
    <n v="19300.599999999999"/>
    <x v="1"/>
    <x v="0"/>
  </r>
  <r>
    <s v="F-2025-0293"/>
    <x v="226"/>
    <s v="Tecnologia"/>
    <s v="Piemonte"/>
    <x v="0"/>
    <n v="42"/>
    <n v="37"/>
    <n v="71"/>
    <n v="2627"/>
    <n v="0.22"/>
    <n v="577.94000000000005"/>
    <n v="3204.94"/>
    <x v="0"/>
    <x v="5"/>
  </r>
  <r>
    <s v="F-2025-0294"/>
    <x v="227"/>
    <s v="Pubblica Amministrazione"/>
    <s v="Piemonte"/>
    <x v="4"/>
    <n v="52"/>
    <n v="55"/>
    <n v="72"/>
    <n v="3960"/>
    <n v="0.22"/>
    <n v="871.2"/>
    <n v="4831.2"/>
    <x v="1"/>
    <x v="1"/>
  </r>
  <r>
    <s v="F-2025-0295"/>
    <x v="228"/>
    <s v="Tecnologia"/>
    <s v="Estero Extra UE"/>
    <x v="3"/>
    <n v="20"/>
    <n v="23"/>
    <n v="276"/>
    <n v="6348"/>
    <n v="0"/>
    <n v="0"/>
    <n v="6348"/>
    <x v="0"/>
    <x v="1"/>
  </r>
  <r>
    <s v="F-2025-0296"/>
    <x v="229"/>
    <s v="Pubblica Amministrazione"/>
    <s v="Estero Extra UE"/>
    <x v="0"/>
    <n v="30"/>
    <n v="30"/>
    <n v="76"/>
    <n v="2280"/>
    <n v="0"/>
    <n v="0"/>
    <n v="2280"/>
    <x v="0"/>
    <x v="9"/>
  </r>
  <r>
    <s v="F-2025-0297"/>
    <x v="230"/>
    <s v="Tecnologia"/>
    <s v="Estero Extra UE"/>
    <x v="5"/>
    <n v="69"/>
    <n v="62"/>
    <n v="143"/>
    <n v="8866"/>
    <n v="0"/>
    <n v="0"/>
    <n v="8866"/>
    <x v="0"/>
    <x v="9"/>
  </r>
  <r>
    <s v="F-2025-0298"/>
    <x v="231"/>
    <s v="Manifatturiero"/>
    <s v="Lombardia"/>
    <x v="1"/>
    <n v="12"/>
    <n v="13"/>
    <n v="246"/>
    <n v="3198"/>
    <n v="0.22"/>
    <n v="703.56"/>
    <n v="3901.56"/>
    <x v="0"/>
    <x v="9"/>
  </r>
  <r>
    <s v="F-2025-0299"/>
    <x v="25"/>
    <s v="Retail"/>
    <s v="Estero UE"/>
    <x v="6"/>
    <n v="20"/>
    <n v="19"/>
    <n v="236"/>
    <n v="4484"/>
    <n v="0"/>
    <n v="0"/>
    <n v="4484"/>
    <x v="0"/>
    <x v="6"/>
  </r>
  <r>
    <s v="F-2025-0300"/>
    <x v="232"/>
    <s v="Pubblica Amministrazione"/>
    <s v="Piemonte"/>
    <x v="2"/>
    <n v="10"/>
    <n v="12"/>
    <n v="248"/>
    <n v="2976"/>
    <n v="0.1"/>
    <n v="297.60000000000002"/>
    <n v="3273.6"/>
    <x v="2"/>
    <x v="5"/>
  </r>
  <r>
    <s v="F-2025-0301"/>
    <x v="218"/>
    <s v="Costruzioni"/>
    <s v="Sicilia"/>
    <x v="1"/>
    <n v="16"/>
    <n v="19"/>
    <n v="135"/>
    <n v="2565"/>
    <n v="0.22"/>
    <n v="564.29999999999995"/>
    <n v="3129.3"/>
    <x v="1"/>
    <x v="8"/>
  </r>
  <r>
    <s v="F-2025-0302"/>
    <x v="81"/>
    <s v="Turismo"/>
    <s v="Sicilia"/>
    <x v="0"/>
    <n v="9"/>
    <n v="9"/>
    <n v="258"/>
    <n v="2322"/>
    <n v="0.22"/>
    <n v="510.84"/>
    <n v="2832.84"/>
    <x v="1"/>
    <x v="7"/>
  </r>
  <r>
    <s v="F-2025-0303"/>
    <x v="233"/>
    <s v="Sanità"/>
    <s v="Campania"/>
    <x v="0"/>
    <n v="28"/>
    <n v="28"/>
    <n v="265"/>
    <n v="7420"/>
    <n v="0.22"/>
    <n v="1632.4"/>
    <n v="9052.4"/>
    <x v="0"/>
    <x v="1"/>
  </r>
  <r>
    <s v="F-2025-0304"/>
    <x v="234"/>
    <s v="Sanità"/>
    <s v="Emilia-Romagna"/>
    <x v="6"/>
    <n v="55"/>
    <n v="52"/>
    <n v="142"/>
    <n v="7384"/>
    <n v="0.22"/>
    <n v="1624.48"/>
    <n v="9008.48"/>
    <x v="2"/>
    <x v="5"/>
  </r>
  <r>
    <s v="F-2025-0305"/>
    <x v="235"/>
    <s v="Finanza"/>
    <s v="Lombardia"/>
    <x v="3"/>
    <n v="17"/>
    <n v="16"/>
    <n v="176"/>
    <n v="2816"/>
    <n v="0.1"/>
    <n v="281.60000000000002"/>
    <n v="3097.6"/>
    <x v="0"/>
    <x v="2"/>
  </r>
  <r>
    <s v="F-2025-0306"/>
    <x v="111"/>
    <s v="Tecnologia"/>
    <s v="Toscana"/>
    <x v="5"/>
    <n v="82"/>
    <n v="69"/>
    <n v="158"/>
    <n v="10902"/>
    <n v="0.22"/>
    <n v="2398.44"/>
    <n v="13300.44"/>
    <x v="1"/>
    <x v="3"/>
  </r>
  <r>
    <s v="F-2025-0307"/>
    <x v="236"/>
    <s v="Pubblica Amministrazione"/>
    <s v="Sicilia"/>
    <x v="6"/>
    <n v="12"/>
    <n v="12"/>
    <n v="84"/>
    <n v="1008"/>
    <n v="0.1"/>
    <n v="100.8"/>
    <n v="1108.8"/>
    <x v="2"/>
    <x v="6"/>
  </r>
  <r>
    <s v="F-2025-0308"/>
    <x v="237"/>
    <s v="Energia"/>
    <s v="Puglia"/>
    <x v="6"/>
    <n v="48"/>
    <n v="52"/>
    <n v="182"/>
    <n v="9464"/>
    <n v="0.1"/>
    <n v="946.4"/>
    <n v="10410.4"/>
    <x v="1"/>
    <x v="9"/>
  </r>
  <r>
    <s v="F-2025-0309"/>
    <x v="217"/>
    <s v="Manifatturiero"/>
    <s v="Lombardia"/>
    <x v="3"/>
    <n v="59"/>
    <n v="53"/>
    <n v="210"/>
    <n v="11130"/>
    <n v="0.22"/>
    <n v="2448.6"/>
    <n v="13578.6"/>
    <x v="0"/>
    <x v="8"/>
  </r>
  <r>
    <s v="F-2025-0310"/>
    <x v="238"/>
    <s v="Pubblica Amministrazione"/>
    <s v="Lombardia"/>
    <x v="4"/>
    <n v="15"/>
    <n v="16"/>
    <n v="116"/>
    <n v="1856"/>
    <n v="0.22"/>
    <n v="408.32"/>
    <n v="2264.3200000000002"/>
    <x v="1"/>
    <x v="4"/>
  </r>
  <r>
    <s v="F-2025-0311"/>
    <x v="158"/>
    <s v="Energia"/>
    <s v="Toscana"/>
    <x v="1"/>
    <n v="38"/>
    <n v="39"/>
    <n v="168"/>
    <n v="6552"/>
    <n v="0.22"/>
    <n v="1441.44"/>
    <n v="7993.4400000000014"/>
    <x v="0"/>
    <x v="1"/>
  </r>
  <r>
    <s v="F-2025-0312"/>
    <x v="239"/>
    <s v="Sanità"/>
    <s v="Puglia"/>
    <x v="3"/>
    <n v="44"/>
    <n v="53"/>
    <n v="101"/>
    <n v="5353"/>
    <n v="0.22"/>
    <n v="1177.6600000000001"/>
    <n v="6530.66"/>
    <x v="0"/>
    <x v="8"/>
  </r>
  <r>
    <s v="F-2025-0313"/>
    <x v="240"/>
    <s v="Finanza"/>
    <s v="Veneto"/>
    <x v="1"/>
    <n v="47"/>
    <n v="58"/>
    <n v="226"/>
    <n v="13108"/>
    <n v="0.22"/>
    <n v="2883.76"/>
    <n v="15991.76"/>
    <x v="2"/>
    <x v="1"/>
  </r>
  <r>
    <s v="F-2025-0314"/>
    <x v="158"/>
    <s v="Tecnologia"/>
    <s v="Emilia-Romagna"/>
    <x v="5"/>
    <n v="17"/>
    <n v="14"/>
    <n v="282"/>
    <n v="3948"/>
    <n v="0.22"/>
    <n v="868.56"/>
    <n v="4816.5599999999986"/>
    <x v="0"/>
    <x v="6"/>
  </r>
  <r>
    <s v="F-2025-0315"/>
    <x v="8"/>
    <s v="Manifatturiero"/>
    <s v="Veneto"/>
    <x v="2"/>
    <n v="6"/>
    <n v="5"/>
    <n v="222"/>
    <n v="1110"/>
    <n v="0.22"/>
    <n v="244.2"/>
    <n v="1354.2"/>
    <x v="2"/>
    <x v="1"/>
  </r>
  <r>
    <s v="F-2025-0316"/>
    <x v="135"/>
    <s v="Tecnologia"/>
    <s v="Estero UE"/>
    <x v="5"/>
    <n v="81"/>
    <n v="75"/>
    <n v="205"/>
    <n v="15375"/>
    <n v="0"/>
    <n v="0"/>
    <n v="15375"/>
    <x v="1"/>
    <x v="7"/>
  </r>
  <r>
    <s v="F-2025-0317"/>
    <x v="233"/>
    <s v="Tecnologia"/>
    <s v="Campania"/>
    <x v="5"/>
    <n v="73"/>
    <n v="76"/>
    <n v="68"/>
    <n v="5168"/>
    <n v="0.22"/>
    <n v="1136.96"/>
    <n v="6304.96"/>
    <x v="2"/>
    <x v="9"/>
  </r>
  <r>
    <s v="F-2025-0318"/>
    <x v="83"/>
    <s v="Pubblica Amministrazione"/>
    <s v="Puglia"/>
    <x v="5"/>
    <n v="64"/>
    <n v="74"/>
    <n v="245"/>
    <n v="18130"/>
    <n v="0.22"/>
    <n v="3988.6"/>
    <n v="22118.6"/>
    <x v="0"/>
    <x v="4"/>
  </r>
  <r>
    <s v="F-2025-0319"/>
    <x v="241"/>
    <s v="Manifatturiero"/>
    <s v="Toscana"/>
    <x v="3"/>
    <n v="15"/>
    <n v="17"/>
    <n v="289"/>
    <n v="4913"/>
    <n v="0.22"/>
    <n v="1080.8599999999999"/>
    <n v="5993.86"/>
    <x v="2"/>
    <x v="9"/>
  </r>
  <r>
    <s v="F-2025-0320"/>
    <x v="242"/>
    <s v="Manifatturiero"/>
    <s v="Estero UE"/>
    <x v="6"/>
    <n v="6"/>
    <n v="7"/>
    <n v="233"/>
    <n v="1631"/>
    <n v="0"/>
    <n v="0"/>
    <n v="1631"/>
    <x v="2"/>
    <x v="9"/>
  </r>
  <r>
    <s v="F-2025-0321"/>
    <x v="243"/>
    <s v="Manifatturiero"/>
    <s v="Estero UE"/>
    <x v="6"/>
    <n v="13"/>
    <n v="13"/>
    <n v="227"/>
    <n v="2951"/>
    <n v="0"/>
    <n v="0"/>
    <n v="2951"/>
    <x v="1"/>
    <x v="1"/>
  </r>
  <r>
    <s v="F-2025-0322"/>
    <x v="82"/>
    <s v="Tecnologia"/>
    <s v="Estero Extra UE"/>
    <x v="0"/>
    <n v="46"/>
    <n v="42"/>
    <n v="196"/>
    <n v="8232"/>
    <n v="0"/>
    <n v="0"/>
    <n v="8232"/>
    <x v="1"/>
    <x v="9"/>
  </r>
  <r>
    <s v="F-2025-0323"/>
    <x v="17"/>
    <s v="Retail"/>
    <s v="Lombardia"/>
    <x v="6"/>
    <n v="53"/>
    <n v="50"/>
    <n v="86"/>
    <n v="4300"/>
    <n v="0.22"/>
    <n v="946"/>
    <n v="5246"/>
    <x v="1"/>
    <x v="2"/>
  </r>
  <r>
    <s v="F-2025-0324"/>
    <x v="244"/>
    <s v="Energia"/>
    <s v="Puglia"/>
    <x v="4"/>
    <n v="60"/>
    <n v="66"/>
    <n v="64"/>
    <n v="4224"/>
    <n v="0.22"/>
    <n v="929.28"/>
    <n v="5153.28"/>
    <x v="2"/>
    <x v="6"/>
  </r>
  <r>
    <s v="F-2025-0325"/>
    <x v="245"/>
    <s v="Pubblica Amministrazione"/>
    <s v="Emilia-Romagna"/>
    <x v="5"/>
    <n v="34"/>
    <n v="29"/>
    <n v="224"/>
    <n v="6496"/>
    <n v="0.22"/>
    <n v="1429.12"/>
    <n v="7925.12"/>
    <x v="0"/>
    <x v="8"/>
  </r>
  <r>
    <s v="F-2025-0326"/>
    <x v="224"/>
    <s v="Energia"/>
    <s v="Toscana"/>
    <x v="0"/>
    <n v="42"/>
    <n v="38"/>
    <n v="142"/>
    <n v="5396"/>
    <n v="0.22"/>
    <n v="1187.1199999999999"/>
    <n v="6583.12"/>
    <x v="0"/>
    <x v="7"/>
  </r>
  <r>
    <s v="F-2025-0327"/>
    <x v="246"/>
    <s v="Costruzioni"/>
    <s v="Estero UE"/>
    <x v="6"/>
    <n v="8"/>
    <n v="8"/>
    <n v="299"/>
    <n v="2392"/>
    <n v="0"/>
    <n v="0"/>
    <n v="2392"/>
    <x v="1"/>
    <x v="5"/>
  </r>
  <r>
    <s v="F-2025-0328"/>
    <x v="178"/>
    <s v="Pubblica Amministrazione"/>
    <s v="Piemonte"/>
    <x v="0"/>
    <n v="68"/>
    <n v="65"/>
    <n v="145"/>
    <n v="9425"/>
    <n v="0.1"/>
    <n v="942.5"/>
    <n v="10367.5"/>
    <x v="2"/>
    <x v="4"/>
  </r>
  <r>
    <s v="F-2025-0329"/>
    <x v="247"/>
    <s v="Turismo"/>
    <s v="Toscana"/>
    <x v="6"/>
    <n v="16"/>
    <n v="17"/>
    <n v="130"/>
    <n v="2210"/>
    <n v="0.22"/>
    <n v="486.2"/>
    <n v="2696.2"/>
    <x v="0"/>
    <x v="4"/>
  </r>
  <r>
    <s v="F-2025-0330"/>
    <x v="176"/>
    <s v="Finanza"/>
    <s v="Estero UE"/>
    <x v="2"/>
    <n v="40"/>
    <n v="45"/>
    <n v="191"/>
    <n v="8595"/>
    <n v="0"/>
    <n v="0"/>
    <n v="8595"/>
    <x v="0"/>
    <x v="2"/>
  </r>
  <r>
    <s v="F-2025-0331"/>
    <x v="248"/>
    <s v="Sanità"/>
    <s v="Veneto"/>
    <x v="3"/>
    <n v="34"/>
    <n v="36"/>
    <n v="129"/>
    <n v="4644"/>
    <n v="0.22"/>
    <n v="1021.68"/>
    <n v="5665.68"/>
    <x v="0"/>
    <x v="0"/>
  </r>
  <r>
    <s v="F-2025-0332"/>
    <x v="227"/>
    <s v="Turismo"/>
    <s v="Estero Extra UE"/>
    <x v="3"/>
    <n v="34"/>
    <n v="31"/>
    <n v="78"/>
    <n v="2418"/>
    <n v="0"/>
    <n v="0"/>
    <n v="2418"/>
    <x v="0"/>
    <x v="8"/>
  </r>
  <r>
    <s v="F-2025-0333"/>
    <x v="30"/>
    <s v="Retail"/>
    <s v="Puglia"/>
    <x v="3"/>
    <n v="49"/>
    <n v="61"/>
    <n v="167"/>
    <n v="10187"/>
    <n v="0.1"/>
    <n v="1018.7"/>
    <n v="11205.7"/>
    <x v="0"/>
    <x v="4"/>
  </r>
  <r>
    <s v="F-2025-0334"/>
    <x v="249"/>
    <s v="Finanza"/>
    <s v="Estero UE"/>
    <x v="2"/>
    <n v="46"/>
    <n v="54"/>
    <n v="226"/>
    <n v="12204"/>
    <n v="0"/>
    <n v="0"/>
    <n v="12204"/>
    <x v="0"/>
    <x v="5"/>
  </r>
  <r>
    <s v="F-2025-0335"/>
    <x v="250"/>
    <s v="Manifatturiero"/>
    <s v="Estero Extra UE"/>
    <x v="5"/>
    <n v="61"/>
    <n v="74"/>
    <n v="149"/>
    <n v="11026"/>
    <n v="0"/>
    <n v="0"/>
    <n v="11026"/>
    <x v="1"/>
    <x v="5"/>
  </r>
  <r>
    <s v="F-2025-0336"/>
    <x v="194"/>
    <s v="Finanza"/>
    <s v="Campania"/>
    <x v="3"/>
    <n v="16"/>
    <n v="19"/>
    <n v="98"/>
    <n v="1862"/>
    <n v="0.22"/>
    <n v="409.64"/>
    <n v="2271.64"/>
    <x v="1"/>
    <x v="3"/>
  </r>
  <r>
    <s v="F-2025-0337"/>
    <x v="251"/>
    <s v="Pubblica Amministrazione"/>
    <s v="Veneto"/>
    <x v="6"/>
    <n v="77"/>
    <n v="67"/>
    <n v="232"/>
    <n v="15544"/>
    <n v="0.22"/>
    <n v="3419.68"/>
    <n v="18963.68"/>
    <x v="2"/>
    <x v="8"/>
  </r>
  <r>
    <s v="F-2025-0338"/>
    <x v="59"/>
    <s v="Costruzioni"/>
    <s v="Toscana"/>
    <x v="3"/>
    <n v="14"/>
    <n v="13"/>
    <n v="279"/>
    <n v="3627"/>
    <n v="0.22"/>
    <n v="797.94"/>
    <n v="4424.9400000000014"/>
    <x v="1"/>
    <x v="9"/>
  </r>
  <r>
    <s v="F-2025-0339"/>
    <x v="252"/>
    <s v="Pubblica Amministrazione"/>
    <s v="Lombardia"/>
    <x v="0"/>
    <n v="57"/>
    <n v="58"/>
    <n v="207"/>
    <n v="12006"/>
    <n v="0.22"/>
    <n v="2641.32"/>
    <n v="14647.32"/>
    <x v="1"/>
    <x v="6"/>
  </r>
  <r>
    <s v="F-2025-0340"/>
    <x v="253"/>
    <s v="Turismo"/>
    <s v="Veneto"/>
    <x v="2"/>
    <n v="60"/>
    <n v="72"/>
    <n v="120"/>
    <n v="8640"/>
    <n v="0.1"/>
    <n v="864"/>
    <n v="9504"/>
    <x v="2"/>
    <x v="6"/>
  </r>
  <r>
    <s v="F-2025-0341"/>
    <x v="254"/>
    <s v="Costruzioni"/>
    <s v="Estero UE"/>
    <x v="5"/>
    <n v="39"/>
    <n v="39"/>
    <n v="60"/>
    <n v="2340"/>
    <n v="0"/>
    <n v="0"/>
    <n v="2340"/>
    <x v="1"/>
    <x v="7"/>
  </r>
  <r>
    <s v="F-2025-0342"/>
    <x v="200"/>
    <s v="Turismo"/>
    <s v="Estero Extra UE"/>
    <x v="5"/>
    <n v="3"/>
    <n v="3"/>
    <n v="264"/>
    <n v="792"/>
    <n v="0"/>
    <n v="0"/>
    <n v="792"/>
    <x v="0"/>
    <x v="8"/>
  </r>
  <r>
    <s v="F-2025-0343"/>
    <x v="255"/>
    <s v="Pubblica Amministrazione"/>
    <s v="Sicilia"/>
    <x v="3"/>
    <n v="54"/>
    <n v="62"/>
    <n v="250"/>
    <n v="15500"/>
    <n v="0.22"/>
    <n v="3410"/>
    <n v="18910"/>
    <x v="1"/>
    <x v="7"/>
  </r>
  <r>
    <s v="F-2025-0344"/>
    <x v="256"/>
    <s v="Turismo"/>
    <s v="Estero Extra UE"/>
    <x v="3"/>
    <n v="24"/>
    <n v="25"/>
    <n v="115"/>
    <n v="2875"/>
    <n v="0"/>
    <n v="0"/>
    <n v="2875"/>
    <x v="0"/>
    <x v="3"/>
  </r>
  <r>
    <s v="F-2025-0345"/>
    <x v="106"/>
    <s v="Sanità"/>
    <s v="Piemonte"/>
    <x v="5"/>
    <n v="32"/>
    <n v="33"/>
    <n v="225"/>
    <n v="7425"/>
    <n v="0.22"/>
    <n v="1633.5"/>
    <n v="9058.5"/>
    <x v="1"/>
    <x v="3"/>
  </r>
  <r>
    <s v="F-2025-0346"/>
    <x v="218"/>
    <s v="Energia"/>
    <s v="Puglia"/>
    <x v="3"/>
    <n v="6"/>
    <n v="6"/>
    <n v="117"/>
    <n v="702"/>
    <n v="0.22"/>
    <n v="154.44"/>
    <n v="856.44"/>
    <x v="0"/>
    <x v="0"/>
  </r>
  <r>
    <s v="F-2025-0347"/>
    <x v="257"/>
    <s v="Tecnologia"/>
    <s v="Sicilia"/>
    <x v="3"/>
    <n v="46"/>
    <n v="44"/>
    <n v="232"/>
    <n v="10208"/>
    <n v="0.1"/>
    <n v="1020.8"/>
    <n v="11228.8"/>
    <x v="1"/>
    <x v="4"/>
  </r>
  <r>
    <s v="F-2025-0348"/>
    <x v="140"/>
    <s v="Retail"/>
    <s v="Sicilia"/>
    <x v="4"/>
    <n v="26"/>
    <n v="32"/>
    <n v="232"/>
    <n v="7424"/>
    <n v="0.22"/>
    <n v="1633.28"/>
    <n v="9057.2800000000007"/>
    <x v="2"/>
    <x v="4"/>
  </r>
  <r>
    <s v="F-2025-0349"/>
    <x v="19"/>
    <s v="Costruzioni"/>
    <s v="Estero Extra UE"/>
    <x v="3"/>
    <n v="58"/>
    <n v="61"/>
    <n v="106"/>
    <n v="6466"/>
    <n v="0"/>
    <n v="0"/>
    <n v="6466"/>
    <x v="0"/>
    <x v="5"/>
  </r>
  <r>
    <s v="F-2025-0350"/>
    <x v="258"/>
    <s v="Finanza"/>
    <s v="Sicilia"/>
    <x v="3"/>
    <n v="22"/>
    <n v="21"/>
    <n v="139"/>
    <n v="2919"/>
    <n v="0.22"/>
    <n v="642.17999999999995"/>
    <n v="3561.18"/>
    <x v="0"/>
    <x v="1"/>
  </r>
  <r>
    <s v="F-2025-0351"/>
    <x v="132"/>
    <s v="Finanza"/>
    <s v="Estero Extra UE"/>
    <x v="3"/>
    <n v="75"/>
    <n v="75"/>
    <n v="288"/>
    <n v="21600"/>
    <n v="0"/>
    <n v="0"/>
    <n v="21600"/>
    <x v="2"/>
    <x v="9"/>
  </r>
  <r>
    <s v="F-2025-0352"/>
    <x v="160"/>
    <s v="Retail"/>
    <s v="Veneto"/>
    <x v="6"/>
    <n v="41"/>
    <n v="36"/>
    <n v="286"/>
    <n v="10296"/>
    <n v="0.22"/>
    <n v="2265.12"/>
    <n v="12561.12"/>
    <x v="0"/>
    <x v="9"/>
  </r>
  <r>
    <s v="F-2025-0353"/>
    <x v="259"/>
    <s v="Energia"/>
    <s v="Puglia"/>
    <x v="6"/>
    <n v="20"/>
    <n v="19"/>
    <n v="79"/>
    <n v="1501"/>
    <n v="0.22"/>
    <n v="330.22"/>
    <n v="1831.22"/>
    <x v="0"/>
    <x v="5"/>
  </r>
  <r>
    <s v="F-2025-0354"/>
    <x v="260"/>
    <s v="Finanza"/>
    <s v="Puglia"/>
    <x v="6"/>
    <n v="49"/>
    <n v="57"/>
    <n v="205"/>
    <n v="11685"/>
    <n v="0.22"/>
    <n v="2570.6999999999998"/>
    <n v="14255.7"/>
    <x v="2"/>
    <x v="0"/>
  </r>
  <r>
    <s v="F-2025-0355"/>
    <x v="0"/>
    <s v="Manifatturiero"/>
    <s v="Puglia"/>
    <x v="5"/>
    <n v="39"/>
    <n v="47"/>
    <n v="292"/>
    <n v="13724"/>
    <n v="0.22"/>
    <n v="3019.28"/>
    <n v="16743.28"/>
    <x v="0"/>
    <x v="3"/>
  </r>
  <r>
    <s v="F-2025-0356"/>
    <x v="261"/>
    <s v="Sanità"/>
    <s v="Puglia"/>
    <x v="6"/>
    <n v="52"/>
    <n v="49"/>
    <n v="73"/>
    <n v="3577"/>
    <n v="0.22"/>
    <n v="786.94"/>
    <n v="4363.9400000000014"/>
    <x v="1"/>
    <x v="9"/>
  </r>
  <r>
    <s v="F-2025-0357"/>
    <x v="262"/>
    <s v="Finanza"/>
    <s v="Puglia"/>
    <x v="6"/>
    <n v="12"/>
    <n v="15"/>
    <n v="218"/>
    <n v="3270"/>
    <n v="0.22"/>
    <n v="719.4"/>
    <n v="3989.4"/>
    <x v="2"/>
    <x v="3"/>
  </r>
  <r>
    <s v="F-2025-0358"/>
    <x v="263"/>
    <s v="Energia"/>
    <s v="Sicilia"/>
    <x v="5"/>
    <n v="1"/>
    <n v="1"/>
    <n v="176"/>
    <n v="176"/>
    <n v="0.22"/>
    <n v="38.72"/>
    <n v="214.72"/>
    <x v="2"/>
    <x v="4"/>
  </r>
  <r>
    <s v="F-2025-0359"/>
    <x v="264"/>
    <s v="Energia"/>
    <s v="Piemonte"/>
    <x v="4"/>
    <n v="64"/>
    <n v="54"/>
    <n v="177"/>
    <n v="9558"/>
    <n v="0.22"/>
    <n v="2102.7600000000002"/>
    <n v="11660.76"/>
    <x v="1"/>
    <x v="9"/>
  </r>
  <r>
    <s v="F-2025-0360"/>
    <x v="265"/>
    <s v="Manifatturiero"/>
    <s v="Campania"/>
    <x v="3"/>
    <n v="3"/>
    <n v="3"/>
    <n v="203"/>
    <n v="609"/>
    <n v="0.22"/>
    <n v="133.97999999999999"/>
    <n v="742.98"/>
    <x v="0"/>
    <x v="6"/>
  </r>
  <r>
    <s v="F-2025-0361"/>
    <x v="24"/>
    <s v="Turismo"/>
    <s v="Lombardia"/>
    <x v="3"/>
    <n v="54"/>
    <n v="57"/>
    <n v="262"/>
    <n v="14934"/>
    <n v="0.22"/>
    <n v="3285.48"/>
    <n v="18219.48"/>
    <x v="1"/>
    <x v="2"/>
  </r>
  <r>
    <s v="F-2025-0362"/>
    <x v="266"/>
    <s v="Energia"/>
    <s v="Sicilia"/>
    <x v="4"/>
    <n v="13"/>
    <n v="12"/>
    <n v="133"/>
    <n v="1596"/>
    <n v="0.1"/>
    <n v="159.6"/>
    <n v="1755.6"/>
    <x v="2"/>
    <x v="2"/>
  </r>
  <r>
    <s v="F-2025-0363"/>
    <x v="267"/>
    <s v="Pubblica Amministrazione"/>
    <s v="Veneto"/>
    <x v="2"/>
    <n v="16"/>
    <n v="16"/>
    <n v="259"/>
    <n v="4144"/>
    <n v="0.1"/>
    <n v="414.4"/>
    <n v="4558.3999999999996"/>
    <x v="1"/>
    <x v="3"/>
  </r>
  <r>
    <s v="F-2025-0364"/>
    <x v="268"/>
    <s v="Pubblica Amministrazione"/>
    <s v="Veneto"/>
    <x v="2"/>
    <n v="77"/>
    <n v="76"/>
    <n v="211"/>
    <n v="16036"/>
    <n v="0.1"/>
    <n v="1603.6"/>
    <n v="17639.599999999999"/>
    <x v="1"/>
    <x v="6"/>
  </r>
  <r>
    <s v="F-2025-0365"/>
    <x v="269"/>
    <s v="Turismo"/>
    <s v="Estero Extra UE"/>
    <x v="2"/>
    <n v="33"/>
    <n v="28"/>
    <n v="176"/>
    <n v="4928"/>
    <n v="0"/>
    <n v="0"/>
    <n v="4928"/>
    <x v="0"/>
    <x v="2"/>
  </r>
  <r>
    <s v="F-2025-0366"/>
    <x v="270"/>
    <s v="Energia"/>
    <s v="Emilia-Romagna"/>
    <x v="0"/>
    <n v="8"/>
    <n v="8"/>
    <n v="181"/>
    <n v="1448"/>
    <n v="0.22"/>
    <n v="318.56"/>
    <n v="1766.56"/>
    <x v="1"/>
    <x v="4"/>
  </r>
  <r>
    <s v="F-2025-0367"/>
    <x v="271"/>
    <s v="Finanza"/>
    <s v="Lombardia"/>
    <x v="4"/>
    <n v="43"/>
    <n v="36"/>
    <n v="149"/>
    <n v="5364"/>
    <n v="0.22"/>
    <n v="1180.08"/>
    <n v="6544.08"/>
    <x v="0"/>
    <x v="6"/>
  </r>
  <r>
    <s v="F-2025-0368"/>
    <x v="100"/>
    <s v="Retail"/>
    <s v="Lazio"/>
    <x v="1"/>
    <n v="9"/>
    <n v="8"/>
    <n v="245"/>
    <n v="1960"/>
    <n v="0.22"/>
    <n v="431.2"/>
    <n v="2391.1999999999998"/>
    <x v="2"/>
    <x v="9"/>
  </r>
  <r>
    <s v="F-2025-0369"/>
    <x v="272"/>
    <s v="Retail"/>
    <s v="Lombardia"/>
    <x v="6"/>
    <n v="53"/>
    <n v="60"/>
    <n v="237"/>
    <n v="14220"/>
    <n v="0.22"/>
    <n v="3128.4"/>
    <n v="17348.400000000001"/>
    <x v="0"/>
    <x v="5"/>
  </r>
  <r>
    <s v="F-2025-0370"/>
    <x v="191"/>
    <s v="Tecnologia"/>
    <s v="Puglia"/>
    <x v="3"/>
    <n v="23"/>
    <n v="28"/>
    <n v="279"/>
    <n v="7812"/>
    <n v="0.22"/>
    <n v="1718.64"/>
    <n v="9530.64"/>
    <x v="0"/>
    <x v="9"/>
  </r>
  <r>
    <s v="F-2025-0371"/>
    <x v="233"/>
    <s v="Sanità"/>
    <s v="Emilia-Romagna"/>
    <x v="3"/>
    <n v="34"/>
    <n v="41"/>
    <n v="287"/>
    <n v="11767"/>
    <n v="0.1"/>
    <n v="1176.7"/>
    <n v="12943.7"/>
    <x v="0"/>
    <x v="1"/>
  </r>
  <r>
    <s v="F-2025-0372"/>
    <x v="160"/>
    <s v="Energia"/>
    <s v="Piemonte"/>
    <x v="3"/>
    <n v="52"/>
    <n v="64"/>
    <n v="214"/>
    <n v="13696"/>
    <n v="0.22"/>
    <n v="3013.12"/>
    <n v="16709.12"/>
    <x v="0"/>
    <x v="3"/>
  </r>
  <r>
    <s v="F-2025-0373"/>
    <x v="273"/>
    <s v="Pubblica Amministrazione"/>
    <s v="Sicilia"/>
    <x v="1"/>
    <n v="53"/>
    <n v="63"/>
    <n v="204"/>
    <n v="12852"/>
    <n v="0.1"/>
    <n v="1285.2"/>
    <n v="14137.2"/>
    <x v="0"/>
    <x v="2"/>
  </r>
  <r>
    <s v="F-2025-0374"/>
    <x v="274"/>
    <s v="Sanità"/>
    <s v="Campania"/>
    <x v="6"/>
    <n v="78"/>
    <n v="73"/>
    <n v="220"/>
    <n v="16060"/>
    <n v="0.22"/>
    <n v="3533.2"/>
    <n v="19593.2"/>
    <x v="2"/>
    <x v="3"/>
  </r>
  <r>
    <s v="F-2025-0375"/>
    <x v="31"/>
    <s v="Retail"/>
    <s v="Emilia-Romagna"/>
    <x v="3"/>
    <n v="64"/>
    <n v="77"/>
    <n v="279"/>
    <n v="21483"/>
    <n v="0.1"/>
    <n v="2148.3000000000002"/>
    <n v="23631.3"/>
    <x v="1"/>
    <x v="8"/>
  </r>
  <r>
    <s v="F-2025-0376"/>
    <x v="23"/>
    <s v="Pubblica Amministrazione"/>
    <s v="Campania"/>
    <x v="6"/>
    <n v="27"/>
    <n v="29"/>
    <n v="200"/>
    <n v="5800"/>
    <n v="0.22"/>
    <n v="1276"/>
    <n v="7076"/>
    <x v="1"/>
    <x v="2"/>
  </r>
  <r>
    <s v="F-2025-0377"/>
    <x v="250"/>
    <s v="Costruzioni"/>
    <s v="Emilia-Romagna"/>
    <x v="3"/>
    <n v="52"/>
    <n v="46"/>
    <n v="94"/>
    <n v="4324"/>
    <n v="0.22"/>
    <n v="951.28"/>
    <n v="5275.28"/>
    <x v="2"/>
    <x v="7"/>
  </r>
  <r>
    <s v="F-2025-0378"/>
    <x v="5"/>
    <s v="Pubblica Amministrazione"/>
    <s v="Emilia-Romagna"/>
    <x v="1"/>
    <n v="5"/>
    <n v="6"/>
    <n v="141"/>
    <n v="846"/>
    <n v="0.22"/>
    <n v="186.12"/>
    <n v="1032.1199999999999"/>
    <x v="0"/>
    <x v="9"/>
  </r>
  <r>
    <s v="F-2025-0379"/>
    <x v="193"/>
    <s v="Finanza"/>
    <s v="Emilia-Romagna"/>
    <x v="4"/>
    <n v="78"/>
    <n v="69"/>
    <n v="106"/>
    <n v="7314"/>
    <n v="0.22"/>
    <n v="1609.08"/>
    <n v="8923.08"/>
    <x v="0"/>
    <x v="1"/>
  </r>
  <r>
    <s v="F-2025-0380"/>
    <x v="275"/>
    <s v="Turismo"/>
    <s v="Emilia-Romagna"/>
    <x v="4"/>
    <n v="23"/>
    <n v="25"/>
    <n v="253"/>
    <n v="6325"/>
    <n v="0.1"/>
    <n v="632.5"/>
    <n v="6957.5"/>
    <x v="2"/>
    <x v="6"/>
  </r>
  <r>
    <s v="F-2025-0381"/>
    <x v="276"/>
    <s v="Retail"/>
    <s v="Lazio"/>
    <x v="2"/>
    <n v="8"/>
    <n v="10"/>
    <n v="115"/>
    <n v="1150"/>
    <n v="0.1"/>
    <n v="115"/>
    <n v="1265"/>
    <x v="2"/>
    <x v="5"/>
  </r>
  <r>
    <s v="F-2025-0382"/>
    <x v="277"/>
    <s v="Energia"/>
    <s v="Emilia-Romagna"/>
    <x v="5"/>
    <n v="32"/>
    <n v="30"/>
    <n v="168"/>
    <n v="5040"/>
    <n v="0.22"/>
    <n v="1108.8"/>
    <n v="6148.8"/>
    <x v="2"/>
    <x v="2"/>
  </r>
  <r>
    <s v="F-2025-0383"/>
    <x v="278"/>
    <s v="Pubblica Amministrazione"/>
    <s v="Estero Extra UE"/>
    <x v="3"/>
    <n v="5"/>
    <n v="5"/>
    <n v="178"/>
    <n v="890"/>
    <n v="0"/>
    <n v="0"/>
    <n v="890"/>
    <x v="2"/>
    <x v="4"/>
  </r>
  <r>
    <s v="F-2025-0384"/>
    <x v="279"/>
    <s v="Pubblica Amministrazione"/>
    <s v="Sicilia"/>
    <x v="6"/>
    <n v="38"/>
    <n v="33"/>
    <n v="177"/>
    <n v="5841"/>
    <n v="0.22"/>
    <n v="1285.02"/>
    <n v="7126.02"/>
    <x v="0"/>
    <x v="8"/>
  </r>
  <r>
    <s v="F-2025-0385"/>
    <x v="280"/>
    <s v="Retail"/>
    <s v="Toscana"/>
    <x v="3"/>
    <n v="71"/>
    <n v="65"/>
    <n v="205"/>
    <n v="13325"/>
    <n v="0.22"/>
    <n v="2931.5"/>
    <n v="16256.5"/>
    <x v="0"/>
    <x v="5"/>
  </r>
  <r>
    <s v="F-2025-0386"/>
    <x v="205"/>
    <s v="Manifatturiero"/>
    <s v="Piemonte"/>
    <x v="5"/>
    <n v="55"/>
    <n v="49"/>
    <n v="70"/>
    <n v="3430"/>
    <n v="0.1"/>
    <n v="343"/>
    <n v="3773"/>
    <x v="0"/>
    <x v="2"/>
  </r>
  <r>
    <s v="F-2025-0387"/>
    <x v="68"/>
    <s v="Tecnologia"/>
    <s v="Emilia-Romagna"/>
    <x v="3"/>
    <n v="24"/>
    <n v="26"/>
    <n v="122"/>
    <n v="3172"/>
    <n v="0.22"/>
    <n v="697.84"/>
    <n v="3869.84"/>
    <x v="0"/>
    <x v="5"/>
  </r>
  <r>
    <s v="F-2025-0388"/>
    <x v="14"/>
    <s v="Pubblica Amministrazione"/>
    <s v="Estero Extra UE"/>
    <x v="2"/>
    <n v="51"/>
    <n v="59"/>
    <n v="86"/>
    <n v="5074"/>
    <n v="0"/>
    <n v="0"/>
    <n v="5074"/>
    <x v="2"/>
    <x v="4"/>
  </r>
  <r>
    <s v="F-2025-0389"/>
    <x v="262"/>
    <s v="Turismo"/>
    <s v="Sicilia"/>
    <x v="0"/>
    <n v="54"/>
    <n v="49"/>
    <n v="264"/>
    <n v="12936"/>
    <n v="0.22"/>
    <n v="2845.92"/>
    <n v="15781.92"/>
    <x v="2"/>
    <x v="3"/>
  </r>
  <r>
    <s v="F-2025-0390"/>
    <x v="281"/>
    <s v="Pubblica Amministrazione"/>
    <s v="Sicilia"/>
    <x v="0"/>
    <n v="37"/>
    <n v="33"/>
    <n v="157"/>
    <n v="5181"/>
    <n v="0.1"/>
    <n v="518.1"/>
    <n v="5699.1"/>
    <x v="0"/>
    <x v="6"/>
  </r>
  <r>
    <s v="F-2025-0391"/>
    <x v="282"/>
    <s v="Manifatturiero"/>
    <s v="Lazio"/>
    <x v="4"/>
    <n v="1"/>
    <n v="1"/>
    <n v="208"/>
    <n v="208"/>
    <n v="0.22"/>
    <n v="45.76"/>
    <n v="253.76"/>
    <x v="1"/>
    <x v="2"/>
  </r>
  <r>
    <s v="F-2025-0392"/>
    <x v="249"/>
    <s v="Retail"/>
    <s v="Lazio"/>
    <x v="2"/>
    <n v="53"/>
    <n v="55"/>
    <n v="65"/>
    <n v="3575"/>
    <n v="0.22"/>
    <n v="786.5"/>
    <n v="4361.5"/>
    <x v="1"/>
    <x v="1"/>
  </r>
  <r>
    <s v="F-2025-0393"/>
    <x v="283"/>
    <s v="Sanità"/>
    <s v="Lombardia"/>
    <x v="5"/>
    <n v="65"/>
    <n v="69"/>
    <n v="154"/>
    <n v="10626"/>
    <n v="0.22"/>
    <n v="2337.7199999999998"/>
    <n v="12963.72"/>
    <x v="0"/>
    <x v="8"/>
  </r>
  <r>
    <s v="F-2025-0394"/>
    <x v="284"/>
    <s v="Manifatturiero"/>
    <s v="Lombardia"/>
    <x v="5"/>
    <n v="6"/>
    <n v="5"/>
    <n v="161"/>
    <n v="805"/>
    <n v="0.22"/>
    <n v="177.1"/>
    <n v="982.1"/>
    <x v="1"/>
    <x v="6"/>
  </r>
  <r>
    <s v="F-2025-0395"/>
    <x v="220"/>
    <s v="Costruzioni"/>
    <s v="Puglia"/>
    <x v="3"/>
    <n v="3"/>
    <n v="3"/>
    <n v="240"/>
    <n v="720"/>
    <n v="0.22"/>
    <n v="158.4"/>
    <n v="878.4"/>
    <x v="0"/>
    <x v="2"/>
  </r>
  <r>
    <s v="F-2025-0396"/>
    <x v="285"/>
    <s v="Finanza"/>
    <s v="Lazio"/>
    <x v="5"/>
    <n v="27"/>
    <n v="23"/>
    <n v="288"/>
    <n v="6624"/>
    <n v="0.22"/>
    <n v="1457.28"/>
    <n v="8081.28"/>
    <x v="1"/>
    <x v="9"/>
  </r>
  <r>
    <s v="F-2025-0397"/>
    <x v="182"/>
    <s v="Costruzioni"/>
    <s v="Toscana"/>
    <x v="3"/>
    <n v="61"/>
    <n v="53"/>
    <n v="224"/>
    <n v="11872"/>
    <n v="0.22"/>
    <n v="2611.84"/>
    <n v="14483.84"/>
    <x v="1"/>
    <x v="7"/>
  </r>
  <r>
    <s v="F-2025-0398"/>
    <x v="218"/>
    <s v="Turismo"/>
    <s v="Estero UE"/>
    <x v="0"/>
    <n v="72"/>
    <n v="74"/>
    <n v="261"/>
    <n v="19314"/>
    <n v="0"/>
    <n v="0"/>
    <n v="19314"/>
    <x v="0"/>
    <x v="5"/>
  </r>
  <r>
    <s v="F-2025-0399"/>
    <x v="286"/>
    <s v="Finanza"/>
    <s v="Estero Extra UE"/>
    <x v="4"/>
    <n v="19"/>
    <n v="17"/>
    <n v="144"/>
    <n v="2448"/>
    <n v="0"/>
    <n v="0"/>
    <n v="2448"/>
    <x v="0"/>
    <x v="6"/>
  </r>
  <r>
    <s v="F-2025-0400"/>
    <x v="229"/>
    <s v="Energia"/>
    <s v="Campania"/>
    <x v="6"/>
    <n v="86"/>
    <n v="78"/>
    <n v="260"/>
    <n v="20280"/>
    <n v="0.22"/>
    <n v="4461.6000000000004"/>
    <n v="24741.599999999999"/>
    <x v="1"/>
    <x v="6"/>
  </r>
  <r>
    <s v="F-2025-0401"/>
    <x v="11"/>
    <s v="Finanza"/>
    <s v="Sicilia"/>
    <x v="4"/>
    <n v="1"/>
    <n v="1"/>
    <n v="110"/>
    <n v="110"/>
    <n v="0.22"/>
    <n v="24.2"/>
    <n v="134.19999999999999"/>
    <x v="2"/>
    <x v="9"/>
  </r>
  <r>
    <s v="F-2025-0402"/>
    <x v="287"/>
    <s v="Pubblica Amministrazione"/>
    <s v="Lombardia"/>
    <x v="0"/>
    <n v="52"/>
    <n v="45"/>
    <n v="264"/>
    <n v="11880"/>
    <n v="0.22"/>
    <n v="2613.6"/>
    <n v="14493.6"/>
    <x v="0"/>
    <x v="9"/>
  </r>
  <r>
    <s v="F-2025-0403"/>
    <x v="241"/>
    <s v="Costruzioni"/>
    <s v="Lombardia"/>
    <x v="1"/>
    <n v="4"/>
    <n v="4"/>
    <n v="249"/>
    <n v="996"/>
    <n v="0.22"/>
    <n v="219.12"/>
    <n v="1215.1199999999999"/>
    <x v="2"/>
    <x v="1"/>
  </r>
  <r>
    <s v="F-2025-0404"/>
    <x v="288"/>
    <s v="Tecnologia"/>
    <s v="Toscana"/>
    <x v="1"/>
    <n v="73"/>
    <n v="65"/>
    <n v="172"/>
    <n v="11180"/>
    <n v="0.1"/>
    <n v="1118"/>
    <n v="12298"/>
    <x v="0"/>
    <x v="3"/>
  </r>
  <r>
    <s v="F-2025-0405"/>
    <x v="144"/>
    <s v="Finanza"/>
    <s v="Piemonte"/>
    <x v="0"/>
    <n v="30"/>
    <n v="32"/>
    <n v="93"/>
    <n v="2976"/>
    <n v="0.22"/>
    <n v="654.72"/>
    <n v="3630.72"/>
    <x v="0"/>
    <x v="2"/>
  </r>
  <r>
    <s v="F-2025-0406"/>
    <x v="289"/>
    <s v="Energia"/>
    <s v="Veneto"/>
    <x v="4"/>
    <n v="83"/>
    <n v="72"/>
    <n v="98"/>
    <n v="7056"/>
    <n v="0.1"/>
    <n v="705.6"/>
    <n v="7761.6"/>
    <x v="0"/>
    <x v="0"/>
  </r>
  <r>
    <s v="F-2025-0407"/>
    <x v="20"/>
    <s v="Sanità"/>
    <s v="Lombardia"/>
    <x v="1"/>
    <n v="25"/>
    <n v="26"/>
    <n v="221"/>
    <n v="5746"/>
    <n v="0.22"/>
    <n v="1264.1199999999999"/>
    <n v="7010.12"/>
    <x v="1"/>
    <x v="7"/>
  </r>
  <r>
    <s v="F-2025-0408"/>
    <x v="253"/>
    <s v="Sanità"/>
    <s v="Lombardia"/>
    <x v="2"/>
    <n v="43"/>
    <n v="54"/>
    <n v="177"/>
    <n v="9558"/>
    <n v="0.22"/>
    <n v="2102.7600000000002"/>
    <n v="11660.76"/>
    <x v="2"/>
    <x v="8"/>
  </r>
  <r>
    <s v="F-2025-0409"/>
    <x v="243"/>
    <s v="Sanità"/>
    <s v="Puglia"/>
    <x v="6"/>
    <n v="3"/>
    <n v="3"/>
    <n v="182"/>
    <n v="546"/>
    <n v="0.22"/>
    <n v="120.12"/>
    <n v="666.12"/>
    <x v="0"/>
    <x v="9"/>
  </r>
  <r>
    <s v="F-2025-0410"/>
    <x v="82"/>
    <s v="Finanza"/>
    <s v="Estero UE"/>
    <x v="3"/>
    <n v="42"/>
    <n v="50"/>
    <n v="71"/>
    <n v="3550"/>
    <n v="0"/>
    <n v="0"/>
    <n v="3550"/>
    <x v="1"/>
    <x v="0"/>
  </r>
  <r>
    <s v="F-2025-0411"/>
    <x v="290"/>
    <s v="Costruzioni"/>
    <s v="Veneto"/>
    <x v="6"/>
    <n v="60"/>
    <n v="65"/>
    <n v="113"/>
    <n v="7345"/>
    <n v="0.22"/>
    <n v="1615.9"/>
    <n v="8960.9"/>
    <x v="0"/>
    <x v="3"/>
  </r>
  <r>
    <s v="F-2025-0412"/>
    <x v="291"/>
    <s v="Sanità"/>
    <s v="Toscana"/>
    <x v="1"/>
    <n v="6"/>
    <n v="5"/>
    <n v="281"/>
    <n v="1405"/>
    <n v="0.22"/>
    <n v="309.10000000000002"/>
    <n v="1714.1"/>
    <x v="2"/>
    <x v="8"/>
  </r>
  <r>
    <s v="F-2025-0413"/>
    <x v="279"/>
    <s v="Costruzioni"/>
    <s v="Lazio"/>
    <x v="0"/>
    <n v="67"/>
    <n v="57"/>
    <n v="204"/>
    <n v="11628"/>
    <n v="0.22"/>
    <n v="2558.16"/>
    <n v="14186.16"/>
    <x v="2"/>
    <x v="8"/>
  </r>
  <r>
    <s v="F-2025-0414"/>
    <x v="292"/>
    <s v="Energia"/>
    <s v="Lazio"/>
    <x v="1"/>
    <n v="48"/>
    <n v="47"/>
    <n v="210"/>
    <n v="9870"/>
    <n v="0.22"/>
    <n v="2171.4"/>
    <n v="12041.4"/>
    <x v="0"/>
    <x v="0"/>
  </r>
  <r>
    <s v="F-2025-0415"/>
    <x v="171"/>
    <s v="Energia"/>
    <s v="Lombardia"/>
    <x v="3"/>
    <n v="83"/>
    <n v="79"/>
    <n v="288"/>
    <n v="22752"/>
    <n v="0.22"/>
    <n v="5005.4399999999996"/>
    <n v="27757.439999999999"/>
    <x v="1"/>
    <x v="1"/>
  </r>
  <r>
    <s v="F-2025-0416"/>
    <x v="250"/>
    <s v="Pubblica Amministrazione"/>
    <s v="Veneto"/>
    <x v="2"/>
    <n v="14"/>
    <n v="14"/>
    <n v="125"/>
    <n v="1750"/>
    <n v="0.22"/>
    <n v="385"/>
    <n v="2135"/>
    <x v="1"/>
    <x v="4"/>
  </r>
  <r>
    <s v="F-2025-0417"/>
    <x v="69"/>
    <s v="Costruzioni"/>
    <s v="Sicilia"/>
    <x v="0"/>
    <n v="69"/>
    <n v="75"/>
    <n v="238"/>
    <n v="17850"/>
    <n v="0.22"/>
    <n v="3927"/>
    <n v="21777"/>
    <x v="2"/>
    <x v="4"/>
  </r>
  <r>
    <s v="F-2025-0418"/>
    <x v="85"/>
    <s v="Costruzioni"/>
    <s v="Sicilia"/>
    <x v="4"/>
    <n v="35"/>
    <n v="38"/>
    <n v="251"/>
    <n v="9538"/>
    <n v="0.22"/>
    <n v="2098.36"/>
    <n v="11636.36"/>
    <x v="2"/>
    <x v="5"/>
  </r>
  <r>
    <s v="F-2025-0419"/>
    <x v="293"/>
    <s v="Retail"/>
    <s v="Sicilia"/>
    <x v="1"/>
    <n v="41"/>
    <n v="38"/>
    <n v="109"/>
    <n v="4142"/>
    <n v="0.22"/>
    <n v="911.24"/>
    <n v="5053.24"/>
    <x v="1"/>
    <x v="2"/>
  </r>
  <r>
    <s v="F-2025-0420"/>
    <x v="294"/>
    <s v="Energia"/>
    <s v="Toscana"/>
    <x v="6"/>
    <n v="33"/>
    <n v="30"/>
    <n v="138"/>
    <n v="4140"/>
    <n v="0.22"/>
    <n v="910.8"/>
    <n v="5050.8"/>
    <x v="0"/>
    <x v="9"/>
  </r>
  <r>
    <s v="F-2025-0421"/>
    <x v="136"/>
    <s v="Costruzioni"/>
    <s v="Toscana"/>
    <x v="5"/>
    <n v="57"/>
    <n v="51"/>
    <n v="250"/>
    <n v="12750"/>
    <n v="0.1"/>
    <n v="1275"/>
    <n v="14025"/>
    <x v="1"/>
    <x v="8"/>
  </r>
  <r>
    <s v="F-2025-0422"/>
    <x v="41"/>
    <s v="Tecnologia"/>
    <s v="Campania"/>
    <x v="3"/>
    <n v="58"/>
    <n v="52"/>
    <n v="225"/>
    <n v="11700"/>
    <n v="0.22"/>
    <n v="2574"/>
    <n v="14274"/>
    <x v="0"/>
    <x v="8"/>
  </r>
  <r>
    <s v="F-2025-0423"/>
    <x v="250"/>
    <s v="Sanità"/>
    <s v="Campania"/>
    <x v="3"/>
    <n v="66"/>
    <n v="79"/>
    <n v="89"/>
    <n v="7031"/>
    <n v="0.22"/>
    <n v="1546.82"/>
    <n v="8577.82"/>
    <x v="2"/>
    <x v="7"/>
  </r>
  <r>
    <s v="F-2025-0424"/>
    <x v="295"/>
    <s v="Retail"/>
    <s v="Estero UE"/>
    <x v="5"/>
    <n v="51"/>
    <n v="51"/>
    <n v="140"/>
    <n v="7140"/>
    <n v="0"/>
    <n v="0"/>
    <n v="7140"/>
    <x v="1"/>
    <x v="1"/>
  </r>
  <r>
    <s v="F-2025-0425"/>
    <x v="2"/>
    <s v="Turismo"/>
    <s v="Emilia-Romagna"/>
    <x v="6"/>
    <n v="4"/>
    <n v="5"/>
    <n v="88"/>
    <n v="440"/>
    <n v="0.22"/>
    <n v="96.8"/>
    <n v="536.79999999999995"/>
    <x v="0"/>
    <x v="0"/>
  </r>
  <r>
    <s v="F-2025-0426"/>
    <x v="161"/>
    <s v="Turismo"/>
    <s v="Veneto"/>
    <x v="2"/>
    <n v="4"/>
    <n v="4"/>
    <n v="197"/>
    <n v="788"/>
    <n v="0.22"/>
    <n v="173.36"/>
    <n v="961.36"/>
    <x v="2"/>
    <x v="3"/>
  </r>
  <r>
    <s v="F-2025-0427"/>
    <x v="39"/>
    <s v="Energia"/>
    <s v="Lazio"/>
    <x v="6"/>
    <n v="55"/>
    <n v="56"/>
    <n v="204"/>
    <n v="11424"/>
    <n v="0.1"/>
    <n v="1142.4000000000001"/>
    <n v="12566.4"/>
    <x v="2"/>
    <x v="9"/>
  </r>
  <r>
    <s v="F-2025-0428"/>
    <x v="188"/>
    <s v="Pubblica Amministrazione"/>
    <s v="Puglia"/>
    <x v="4"/>
    <n v="85"/>
    <n v="74"/>
    <n v="76"/>
    <n v="5624"/>
    <n v="0.22"/>
    <n v="1237.28"/>
    <n v="6861.28"/>
    <x v="0"/>
    <x v="6"/>
  </r>
  <r>
    <s v="F-2025-0429"/>
    <x v="279"/>
    <s v="Pubblica Amministrazione"/>
    <s v="Estero UE"/>
    <x v="2"/>
    <n v="65"/>
    <n v="69"/>
    <n v="93"/>
    <n v="6417"/>
    <n v="0"/>
    <n v="0"/>
    <n v="6417"/>
    <x v="1"/>
    <x v="0"/>
  </r>
  <r>
    <s v="F-2025-0430"/>
    <x v="111"/>
    <s v="Sanità"/>
    <s v="Veneto"/>
    <x v="2"/>
    <n v="5"/>
    <n v="6"/>
    <n v="112"/>
    <n v="672"/>
    <n v="0.22"/>
    <n v="147.84"/>
    <n v="819.84"/>
    <x v="0"/>
    <x v="2"/>
  </r>
  <r>
    <s v="F-2025-0431"/>
    <x v="289"/>
    <s v="Energia"/>
    <s v="Lazio"/>
    <x v="1"/>
    <n v="57"/>
    <n v="66"/>
    <n v="264"/>
    <n v="17424"/>
    <n v="0.22"/>
    <n v="3833.28"/>
    <n v="21257.279999999999"/>
    <x v="1"/>
    <x v="1"/>
  </r>
  <r>
    <s v="F-2025-0432"/>
    <x v="296"/>
    <s v="Pubblica Amministrazione"/>
    <s v="Estero UE"/>
    <x v="2"/>
    <n v="47"/>
    <n v="43"/>
    <n v="299"/>
    <n v="12857"/>
    <n v="0"/>
    <n v="0"/>
    <n v="12857"/>
    <x v="0"/>
    <x v="5"/>
  </r>
  <r>
    <s v="F-2025-0433"/>
    <x v="216"/>
    <s v="Sanità"/>
    <s v="Campania"/>
    <x v="6"/>
    <n v="79"/>
    <n v="75"/>
    <n v="174"/>
    <n v="13050"/>
    <n v="0.22"/>
    <n v="2871"/>
    <n v="15921"/>
    <x v="0"/>
    <x v="1"/>
  </r>
  <r>
    <s v="F-2025-0434"/>
    <x v="297"/>
    <s v="Sanità"/>
    <s v="Lombardia"/>
    <x v="6"/>
    <n v="19"/>
    <n v="23"/>
    <n v="242"/>
    <n v="5566"/>
    <n v="0.22"/>
    <n v="1224.52"/>
    <n v="6790.52"/>
    <x v="2"/>
    <x v="0"/>
  </r>
  <r>
    <s v="F-2025-0435"/>
    <x v="162"/>
    <s v="Tecnologia"/>
    <s v="Toscana"/>
    <x v="3"/>
    <n v="67"/>
    <n v="80"/>
    <n v="154"/>
    <n v="12320"/>
    <n v="0.22"/>
    <n v="2710.4"/>
    <n v="15030.4"/>
    <x v="1"/>
    <x v="1"/>
  </r>
  <r>
    <s v="F-2025-0436"/>
    <x v="298"/>
    <s v="Sanità"/>
    <s v="Sicilia"/>
    <x v="1"/>
    <n v="81"/>
    <n v="75"/>
    <n v="177"/>
    <n v="13275"/>
    <n v="0.22"/>
    <n v="2920.5"/>
    <n v="16195.5"/>
    <x v="0"/>
    <x v="8"/>
  </r>
  <r>
    <s v="F-2025-0437"/>
    <x v="233"/>
    <s v="Finanza"/>
    <s v="Piemonte"/>
    <x v="1"/>
    <n v="13"/>
    <n v="16"/>
    <n v="67"/>
    <n v="1072"/>
    <n v="0.22"/>
    <n v="235.84"/>
    <n v="1307.8399999999999"/>
    <x v="1"/>
    <x v="6"/>
  </r>
  <r>
    <s v="F-2025-0438"/>
    <x v="299"/>
    <s v="Finanza"/>
    <s v="Estero Extra UE"/>
    <x v="4"/>
    <n v="5"/>
    <n v="4"/>
    <n v="163"/>
    <n v="652"/>
    <n v="0"/>
    <n v="0"/>
    <n v="652"/>
    <x v="1"/>
    <x v="5"/>
  </r>
  <r>
    <s v="F-2025-0439"/>
    <x v="300"/>
    <s v="Tecnologia"/>
    <s v="Puglia"/>
    <x v="0"/>
    <n v="4"/>
    <n v="4"/>
    <n v="243"/>
    <n v="972"/>
    <n v="0.22"/>
    <n v="213.84"/>
    <n v="1185.8399999999999"/>
    <x v="2"/>
    <x v="8"/>
  </r>
  <r>
    <s v="F-2025-0440"/>
    <x v="252"/>
    <s v="Energia"/>
    <s v="Estero Extra UE"/>
    <x v="0"/>
    <n v="21"/>
    <n v="25"/>
    <n v="254"/>
    <n v="6350"/>
    <n v="0"/>
    <n v="0"/>
    <n v="6350"/>
    <x v="1"/>
    <x v="2"/>
  </r>
  <r>
    <s v="F-2025-0441"/>
    <x v="46"/>
    <s v="Manifatturiero"/>
    <s v="Estero UE"/>
    <x v="0"/>
    <n v="56"/>
    <n v="67"/>
    <n v="214"/>
    <n v="14338"/>
    <n v="0"/>
    <n v="0"/>
    <n v="14338"/>
    <x v="2"/>
    <x v="9"/>
  </r>
  <r>
    <s v="F-2025-0442"/>
    <x v="113"/>
    <s v="Energia"/>
    <s v="Lombardia"/>
    <x v="2"/>
    <n v="38"/>
    <n v="32"/>
    <n v="237"/>
    <n v="7584"/>
    <n v="0.22"/>
    <n v="1668.48"/>
    <n v="9252.48"/>
    <x v="2"/>
    <x v="0"/>
  </r>
  <r>
    <s v="F-2025-0443"/>
    <x v="92"/>
    <s v="Pubblica Amministrazione"/>
    <s v="Veneto"/>
    <x v="3"/>
    <n v="58"/>
    <n v="61"/>
    <n v="181"/>
    <n v="11041"/>
    <n v="0.22"/>
    <n v="2429.02"/>
    <n v="13470.02"/>
    <x v="2"/>
    <x v="0"/>
  </r>
  <r>
    <s v="F-2025-0444"/>
    <x v="221"/>
    <s v="Turismo"/>
    <s v="Puglia"/>
    <x v="2"/>
    <n v="48"/>
    <n v="51"/>
    <n v="206"/>
    <n v="10506"/>
    <n v="0.22"/>
    <n v="2311.3200000000002"/>
    <n v="12817.32"/>
    <x v="2"/>
    <x v="9"/>
  </r>
  <r>
    <s v="F-2025-0445"/>
    <x v="301"/>
    <s v="Finanza"/>
    <s v="Toscana"/>
    <x v="3"/>
    <n v="24"/>
    <n v="21"/>
    <n v="64"/>
    <n v="1344"/>
    <n v="0.22"/>
    <n v="295.68"/>
    <n v="1639.68"/>
    <x v="0"/>
    <x v="3"/>
  </r>
  <r>
    <s v="F-2025-0446"/>
    <x v="302"/>
    <s v="Finanza"/>
    <s v="Estero Extra UE"/>
    <x v="0"/>
    <n v="50"/>
    <n v="42"/>
    <n v="120"/>
    <n v="5040"/>
    <n v="0"/>
    <n v="0"/>
    <n v="5040"/>
    <x v="2"/>
    <x v="0"/>
  </r>
  <r>
    <s v="F-2025-0447"/>
    <x v="79"/>
    <s v="Costruzioni"/>
    <s v="Lazio"/>
    <x v="0"/>
    <n v="26"/>
    <n v="22"/>
    <n v="208"/>
    <n v="4576"/>
    <n v="0.22"/>
    <n v="1006.72"/>
    <n v="5582.72"/>
    <x v="1"/>
    <x v="1"/>
  </r>
  <r>
    <s v="F-2025-0448"/>
    <x v="303"/>
    <s v="Energia"/>
    <s v="Estero UE"/>
    <x v="0"/>
    <n v="77"/>
    <n v="70"/>
    <n v="60"/>
    <n v="4200"/>
    <n v="0"/>
    <n v="0"/>
    <n v="4200"/>
    <x v="0"/>
    <x v="2"/>
  </r>
  <r>
    <s v="F-2025-0449"/>
    <x v="39"/>
    <s v="Tecnologia"/>
    <s v="Sicilia"/>
    <x v="2"/>
    <n v="5"/>
    <n v="5"/>
    <n v="292"/>
    <n v="1460"/>
    <n v="0.22"/>
    <n v="321.2"/>
    <n v="1781.2"/>
    <x v="0"/>
    <x v="3"/>
  </r>
  <r>
    <s v="F-2025-0450"/>
    <x v="304"/>
    <s v="Turismo"/>
    <s v="Piemonte"/>
    <x v="0"/>
    <n v="10"/>
    <n v="12"/>
    <n v="149"/>
    <n v="1788"/>
    <n v="0.22"/>
    <n v="393.36"/>
    <n v="2181.36"/>
    <x v="2"/>
    <x v="9"/>
  </r>
  <r>
    <s v="F-2025-0451"/>
    <x v="110"/>
    <s v="Sanità"/>
    <s v="Lombardia"/>
    <x v="6"/>
    <n v="51"/>
    <n v="46"/>
    <n v="93"/>
    <n v="4278"/>
    <n v="0.22"/>
    <n v="941.16"/>
    <n v="5219.16"/>
    <x v="2"/>
    <x v="1"/>
  </r>
  <r>
    <s v="F-2025-0452"/>
    <x v="172"/>
    <s v="Turismo"/>
    <s v="Campania"/>
    <x v="2"/>
    <n v="50"/>
    <n v="49"/>
    <n v="137"/>
    <n v="6713"/>
    <n v="0.22"/>
    <n v="1476.86"/>
    <n v="8189.86"/>
    <x v="0"/>
    <x v="8"/>
  </r>
  <r>
    <s v="F-2025-0453"/>
    <x v="262"/>
    <s v="Tecnologia"/>
    <s v="Lazio"/>
    <x v="5"/>
    <n v="44"/>
    <n v="45"/>
    <n v="214"/>
    <n v="9630"/>
    <n v="0.22"/>
    <n v="2118.6"/>
    <n v="11748.6"/>
    <x v="1"/>
    <x v="4"/>
  </r>
  <r>
    <s v="F-2025-0454"/>
    <x v="288"/>
    <s v="Costruzioni"/>
    <s v="Emilia-Romagna"/>
    <x v="5"/>
    <n v="85"/>
    <n v="73"/>
    <n v="85"/>
    <n v="6205"/>
    <n v="0.22"/>
    <n v="1365.1"/>
    <n v="7570.1"/>
    <x v="2"/>
    <x v="9"/>
  </r>
  <r>
    <s v="F-2025-0455"/>
    <x v="293"/>
    <s v="Pubblica Amministrazione"/>
    <s v="Puglia"/>
    <x v="1"/>
    <n v="40"/>
    <n v="47"/>
    <n v="180"/>
    <n v="8460"/>
    <n v="0.22"/>
    <n v="1861.2"/>
    <n v="10321.200000000001"/>
    <x v="2"/>
    <x v="1"/>
  </r>
  <r>
    <s v="F-2025-0456"/>
    <x v="305"/>
    <s v="Pubblica Amministrazione"/>
    <s v="Lombardia"/>
    <x v="4"/>
    <n v="56"/>
    <n v="56"/>
    <n v="153"/>
    <n v="8568"/>
    <n v="0.22"/>
    <n v="1884.96"/>
    <n v="10452.959999999999"/>
    <x v="0"/>
    <x v="5"/>
  </r>
  <r>
    <s v="F-2025-0457"/>
    <x v="306"/>
    <s v="Finanza"/>
    <s v="Estero Extra UE"/>
    <x v="4"/>
    <n v="51"/>
    <n v="63"/>
    <n v="107"/>
    <n v="6741"/>
    <n v="0"/>
    <n v="0"/>
    <n v="6741"/>
    <x v="1"/>
    <x v="4"/>
  </r>
  <r>
    <s v="F-2025-0458"/>
    <x v="288"/>
    <s v="Turismo"/>
    <s v="Piemonte"/>
    <x v="3"/>
    <n v="60"/>
    <n v="61"/>
    <n v="140"/>
    <n v="8540"/>
    <n v="0.1"/>
    <n v="854"/>
    <n v="9394"/>
    <x v="1"/>
    <x v="8"/>
  </r>
  <r>
    <s v="F-2025-0459"/>
    <x v="307"/>
    <s v="Retail"/>
    <s v="Emilia-Romagna"/>
    <x v="4"/>
    <n v="21"/>
    <n v="26"/>
    <n v="95"/>
    <n v="2470"/>
    <n v="0.22"/>
    <n v="543.4"/>
    <n v="3013.4"/>
    <x v="0"/>
    <x v="7"/>
  </r>
  <r>
    <s v="F-2025-0460"/>
    <x v="308"/>
    <s v="Tecnologia"/>
    <s v="Estero UE"/>
    <x v="0"/>
    <n v="1"/>
    <n v="1"/>
    <n v="67"/>
    <n v="67"/>
    <n v="0"/>
    <n v="0"/>
    <n v="67"/>
    <x v="1"/>
    <x v="5"/>
  </r>
  <r>
    <s v="F-2025-0461"/>
    <x v="309"/>
    <s v="Sanità"/>
    <s v="Puglia"/>
    <x v="3"/>
    <n v="44"/>
    <n v="52"/>
    <n v="266"/>
    <n v="13832"/>
    <n v="0.22"/>
    <n v="3043.04"/>
    <n v="16875.04"/>
    <x v="1"/>
    <x v="7"/>
  </r>
  <r>
    <s v="F-2025-0462"/>
    <x v="107"/>
    <s v="Costruzioni"/>
    <s v="Estero UE"/>
    <x v="3"/>
    <n v="50"/>
    <n v="47"/>
    <n v="186"/>
    <n v="8742"/>
    <n v="0"/>
    <n v="0"/>
    <n v="8742"/>
    <x v="0"/>
    <x v="0"/>
  </r>
  <r>
    <s v="F-2025-0463"/>
    <x v="310"/>
    <s v="Energia"/>
    <s v="Lombardia"/>
    <x v="3"/>
    <n v="62"/>
    <n v="56"/>
    <n v="273"/>
    <n v="15288"/>
    <n v="0.1"/>
    <n v="1528.8"/>
    <n v="16816.8"/>
    <x v="1"/>
    <x v="3"/>
  </r>
  <r>
    <s v="F-2025-0464"/>
    <x v="311"/>
    <s v="Tecnologia"/>
    <s v="Toscana"/>
    <x v="4"/>
    <n v="14"/>
    <n v="14"/>
    <n v="277"/>
    <n v="3878"/>
    <n v="0.22"/>
    <n v="853.16"/>
    <n v="4731.16"/>
    <x v="0"/>
    <x v="2"/>
  </r>
  <r>
    <s v="F-2025-0465"/>
    <x v="138"/>
    <s v="Tecnologia"/>
    <s v="Estero UE"/>
    <x v="2"/>
    <n v="33"/>
    <n v="28"/>
    <n v="274"/>
    <n v="7672"/>
    <n v="0"/>
    <n v="0"/>
    <n v="7672"/>
    <x v="2"/>
    <x v="2"/>
  </r>
  <r>
    <s v="F-2025-0466"/>
    <x v="91"/>
    <s v="Turismo"/>
    <s v="Lazio"/>
    <x v="2"/>
    <n v="74"/>
    <n v="78"/>
    <n v="275"/>
    <n v="21450"/>
    <n v="0.22"/>
    <n v="4719"/>
    <n v="26169"/>
    <x v="1"/>
    <x v="2"/>
  </r>
  <r>
    <s v="F-2025-0467"/>
    <x v="312"/>
    <s v="Costruzioni"/>
    <s v="Toscana"/>
    <x v="6"/>
    <n v="2"/>
    <n v="2"/>
    <n v="168"/>
    <n v="336"/>
    <n v="0.1"/>
    <n v="33.6"/>
    <n v="369.6"/>
    <x v="2"/>
    <x v="9"/>
  </r>
  <r>
    <s v="F-2025-0468"/>
    <x v="313"/>
    <s v="Finanza"/>
    <s v="Sicilia"/>
    <x v="2"/>
    <n v="30"/>
    <n v="26"/>
    <n v="73"/>
    <n v="1898"/>
    <n v="0.22"/>
    <n v="417.56"/>
    <n v="2315.56"/>
    <x v="2"/>
    <x v="0"/>
  </r>
  <r>
    <s v="F-2025-0469"/>
    <x v="144"/>
    <s v="Retail"/>
    <s v="Campania"/>
    <x v="4"/>
    <n v="52"/>
    <n v="59"/>
    <n v="115"/>
    <n v="6785"/>
    <n v="0.22"/>
    <n v="1492.7"/>
    <n v="8277.7000000000007"/>
    <x v="2"/>
    <x v="7"/>
  </r>
  <r>
    <s v="F-2025-0470"/>
    <x v="195"/>
    <s v="Sanità"/>
    <s v="Puglia"/>
    <x v="5"/>
    <n v="8"/>
    <n v="7"/>
    <n v="62"/>
    <n v="434"/>
    <n v="0.22"/>
    <n v="95.48"/>
    <n v="529.48"/>
    <x v="2"/>
    <x v="7"/>
  </r>
  <r>
    <s v="F-2025-0471"/>
    <x v="272"/>
    <s v="Manifatturiero"/>
    <s v="Lazio"/>
    <x v="2"/>
    <n v="19"/>
    <n v="23"/>
    <n v="297"/>
    <n v="6831"/>
    <n v="0.22"/>
    <n v="1502.82"/>
    <n v="8333.82"/>
    <x v="2"/>
    <x v="6"/>
  </r>
  <r>
    <s v="F-2025-0472"/>
    <x v="67"/>
    <s v="Tecnologia"/>
    <s v="Sicilia"/>
    <x v="6"/>
    <n v="21"/>
    <n v="18"/>
    <n v="97"/>
    <n v="1746"/>
    <n v="0.22"/>
    <n v="384.12"/>
    <n v="2130.12"/>
    <x v="2"/>
    <x v="5"/>
  </r>
  <r>
    <s v="F-2025-0473"/>
    <x v="156"/>
    <s v="Costruzioni"/>
    <s v="Veneto"/>
    <x v="4"/>
    <n v="12"/>
    <n v="15"/>
    <n v="251"/>
    <n v="3765"/>
    <n v="0.1"/>
    <n v="376.5"/>
    <n v="4141.5"/>
    <x v="2"/>
    <x v="0"/>
  </r>
  <r>
    <s v="F-2025-0474"/>
    <x v="314"/>
    <s v="Costruzioni"/>
    <s v="Lazio"/>
    <x v="3"/>
    <n v="32"/>
    <n v="28"/>
    <n v="261"/>
    <n v="7308"/>
    <n v="0.22"/>
    <n v="1607.76"/>
    <n v="8915.76"/>
    <x v="0"/>
    <x v="3"/>
  </r>
  <r>
    <s v="F-2025-0475"/>
    <x v="194"/>
    <s v="Energia"/>
    <s v="Estero Extra UE"/>
    <x v="3"/>
    <n v="39"/>
    <n v="39"/>
    <n v="244"/>
    <n v="9516"/>
    <n v="0"/>
    <n v="0"/>
    <n v="9516"/>
    <x v="0"/>
    <x v="5"/>
  </r>
  <r>
    <s v="F-2025-0476"/>
    <x v="113"/>
    <s v="Finanza"/>
    <s v="Lazio"/>
    <x v="1"/>
    <n v="20"/>
    <n v="17"/>
    <n v="290"/>
    <n v="4930"/>
    <n v="0.22"/>
    <n v="1084.5999999999999"/>
    <n v="6014.6"/>
    <x v="1"/>
    <x v="3"/>
  </r>
  <r>
    <s v="F-2025-0477"/>
    <x v="112"/>
    <s v="Pubblica Amministrazione"/>
    <s v="Estero Extra UE"/>
    <x v="6"/>
    <n v="36"/>
    <n v="44"/>
    <n v="84"/>
    <n v="3696"/>
    <n v="0"/>
    <n v="0"/>
    <n v="3696"/>
    <x v="1"/>
    <x v="6"/>
  </r>
  <r>
    <s v="F-2025-0478"/>
    <x v="299"/>
    <s v="Finanza"/>
    <s v="Campania"/>
    <x v="2"/>
    <n v="17"/>
    <n v="17"/>
    <n v="72"/>
    <n v="1224"/>
    <n v="0.22"/>
    <n v="269.27999999999997"/>
    <n v="1493.28"/>
    <x v="1"/>
    <x v="5"/>
  </r>
  <r>
    <s v="F-2025-0479"/>
    <x v="140"/>
    <s v="Finanza"/>
    <s v="Lazio"/>
    <x v="1"/>
    <n v="30"/>
    <n v="25"/>
    <n v="127"/>
    <n v="3175"/>
    <n v="0.22"/>
    <n v="698.5"/>
    <n v="3873.5"/>
    <x v="2"/>
    <x v="3"/>
  </r>
  <r>
    <s v="F-2025-0480"/>
    <x v="315"/>
    <s v="Tecnologia"/>
    <s v="Estero Extra UE"/>
    <x v="2"/>
    <n v="10"/>
    <n v="10"/>
    <n v="126"/>
    <n v="1260"/>
    <n v="0"/>
    <n v="0"/>
    <n v="1260"/>
    <x v="1"/>
    <x v="0"/>
  </r>
  <r>
    <s v="F-2025-0481"/>
    <x v="316"/>
    <s v="Manifatturiero"/>
    <s v="Estero UE"/>
    <x v="2"/>
    <n v="19"/>
    <n v="18"/>
    <n v="170"/>
    <n v="3060"/>
    <n v="0"/>
    <n v="0"/>
    <n v="3060"/>
    <x v="1"/>
    <x v="8"/>
  </r>
  <r>
    <s v="F-2025-0482"/>
    <x v="61"/>
    <s v="Retail"/>
    <s v="Estero Extra UE"/>
    <x v="2"/>
    <n v="37"/>
    <n v="34"/>
    <n v="170"/>
    <n v="5780"/>
    <n v="0"/>
    <n v="0"/>
    <n v="5780"/>
    <x v="1"/>
    <x v="2"/>
  </r>
  <r>
    <s v="F-2025-0483"/>
    <x v="317"/>
    <s v="Retail"/>
    <s v="Lazio"/>
    <x v="1"/>
    <n v="8"/>
    <n v="8"/>
    <n v="227"/>
    <n v="1816"/>
    <n v="0.22"/>
    <n v="399.52"/>
    <n v="2215.52"/>
    <x v="1"/>
    <x v="9"/>
  </r>
  <r>
    <s v="F-2025-0484"/>
    <x v="318"/>
    <s v="Sanità"/>
    <s v="Campania"/>
    <x v="3"/>
    <n v="44"/>
    <n v="42"/>
    <n v="228"/>
    <n v="9576"/>
    <n v="0.22"/>
    <n v="2106.7199999999998"/>
    <n v="11682.72"/>
    <x v="1"/>
    <x v="4"/>
  </r>
  <r>
    <s v="F-2025-0485"/>
    <x v="319"/>
    <s v="Retail"/>
    <s v="Puglia"/>
    <x v="5"/>
    <n v="6"/>
    <n v="6"/>
    <n v="239"/>
    <n v="1434"/>
    <n v="0.22"/>
    <n v="315.48"/>
    <n v="1749.48"/>
    <x v="0"/>
    <x v="4"/>
  </r>
  <r>
    <s v="F-2025-0486"/>
    <x v="2"/>
    <s v="Costruzioni"/>
    <s v="Emilia-Romagna"/>
    <x v="5"/>
    <n v="30"/>
    <n v="26"/>
    <n v="123"/>
    <n v="3198"/>
    <n v="0.22"/>
    <n v="703.56"/>
    <n v="3901.56"/>
    <x v="1"/>
    <x v="2"/>
  </r>
  <r>
    <s v="F-2025-0487"/>
    <x v="68"/>
    <s v="Manifatturiero"/>
    <s v="Emilia-Romagna"/>
    <x v="6"/>
    <n v="48"/>
    <n v="59"/>
    <n v="243"/>
    <n v="14337"/>
    <n v="0.22"/>
    <n v="3154.14"/>
    <n v="17491.14"/>
    <x v="1"/>
    <x v="8"/>
  </r>
  <r>
    <s v="F-2025-0488"/>
    <x v="320"/>
    <s v="Pubblica Amministrazione"/>
    <s v="Lombardia"/>
    <x v="3"/>
    <n v="54"/>
    <n v="59"/>
    <n v="168"/>
    <n v="9912"/>
    <n v="0.1"/>
    <n v="991.2"/>
    <n v="10903.2"/>
    <x v="1"/>
    <x v="2"/>
  </r>
  <r>
    <s v="F-2025-0489"/>
    <x v="321"/>
    <s v="Sanità"/>
    <s v="Puglia"/>
    <x v="2"/>
    <n v="83"/>
    <n v="70"/>
    <n v="288"/>
    <n v="20160"/>
    <n v="0.22"/>
    <n v="4435.2"/>
    <n v="24595.200000000001"/>
    <x v="2"/>
    <x v="0"/>
  </r>
  <r>
    <s v="F-2025-0490"/>
    <x v="101"/>
    <s v="Finanza"/>
    <s v="Lombardia"/>
    <x v="3"/>
    <n v="38"/>
    <n v="33"/>
    <n v="240"/>
    <n v="7920"/>
    <n v="0.22"/>
    <n v="1742.4"/>
    <n v="9662.4"/>
    <x v="1"/>
    <x v="2"/>
  </r>
  <r>
    <s v="F-2025-0491"/>
    <x v="322"/>
    <s v="Costruzioni"/>
    <s v="Estero Extra UE"/>
    <x v="2"/>
    <n v="22"/>
    <n v="22"/>
    <n v="80"/>
    <n v="1760"/>
    <n v="0"/>
    <n v="0"/>
    <n v="1760"/>
    <x v="0"/>
    <x v="2"/>
  </r>
  <r>
    <s v="F-2025-0492"/>
    <x v="39"/>
    <s v="Energia"/>
    <s v="Lazio"/>
    <x v="2"/>
    <n v="73"/>
    <n v="70"/>
    <n v="129"/>
    <n v="9030"/>
    <n v="0.22"/>
    <n v="1986.6"/>
    <n v="11016.6"/>
    <x v="0"/>
    <x v="3"/>
  </r>
  <r>
    <s v="F-2025-0493"/>
    <x v="9"/>
    <s v="Finanza"/>
    <s v="Piemonte"/>
    <x v="1"/>
    <n v="4"/>
    <n v="4"/>
    <n v="153"/>
    <n v="612"/>
    <n v="0.22"/>
    <n v="134.63999999999999"/>
    <n v="746.64"/>
    <x v="1"/>
    <x v="3"/>
  </r>
  <r>
    <s v="F-2025-0494"/>
    <x v="323"/>
    <s v="Energia"/>
    <s v="Estero UE"/>
    <x v="2"/>
    <n v="66"/>
    <n v="75"/>
    <n v="249"/>
    <n v="18675"/>
    <n v="0"/>
    <n v="0"/>
    <n v="18675"/>
    <x v="0"/>
    <x v="0"/>
  </r>
  <r>
    <s v="F-2025-0495"/>
    <x v="213"/>
    <s v="Energia"/>
    <s v="Emilia-Romagna"/>
    <x v="1"/>
    <n v="61"/>
    <n v="62"/>
    <n v="153"/>
    <n v="9486"/>
    <n v="0.22"/>
    <n v="2086.92"/>
    <n v="11572.92"/>
    <x v="2"/>
    <x v="0"/>
  </r>
  <r>
    <s v="F-2025-0496"/>
    <x v="117"/>
    <s v="Manifatturiero"/>
    <s v="Piemonte"/>
    <x v="2"/>
    <n v="23"/>
    <n v="24"/>
    <n v="114"/>
    <n v="2736"/>
    <n v="0.22"/>
    <n v="601.91999999999996"/>
    <n v="3337.92"/>
    <x v="0"/>
    <x v="3"/>
  </r>
  <r>
    <s v="F-2025-0497"/>
    <x v="324"/>
    <s v="Manifatturiero"/>
    <s v="Veneto"/>
    <x v="2"/>
    <n v="9"/>
    <n v="9"/>
    <n v="190"/>
    <n v="1710"/>
    <n v="0.22"/>
    <n v="376.2"/>
    <n v="2086.1999999999998"/>
    <x v="2"/>
    <x v="7"/>
  </r>
  <r>
    <s v="F-2025-0498"/>
    <x v="325"/>
    <s v="Pubblica Amministrazione"/>
    <s v="Piemonte"/>
    <x v="0"/>
    <n v="26"/>
    <n v="31"/>
    <n v="99"/>
    <n v="3069"/>
    <n v="0.22"/>
    <n v="675.18"/>
    <n v="3744.18"/>
    <x v="0"/>
    <x v="4"/>
  </r>
  <r>
    <s v="F-2025-0499"/>
    <x v="307"/>
    <s v="Manifatturiero"/>
    <s v="Toscana"/>
    <x v="4"/>
    <n v="43"/>
    <n v="36"/>
    <n v="211"/>
    <n v="7596"/>
    <n v="0.22"/>
    <n v="1671.12"/>
    <n v="9267.119999999999"/>
    <x v="0"/>
    <x v="0"/>
  </r>
  <r>
    <s v="F-2025-0500"/>
    <x v="326"/>
    <s v="Finanza"/>
    <s v="Sicilia"/>
    <x v="6"/>
    <n v="7"/>
    <n v="6"/>
    <n v="125"/>
    <n v="750"/>
    <n v="0.22"/>
    <n v="165"/>
    <n v="915"/>
    <x v="1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9DD736-B400-4694-BEFB-15215E4650D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:D9" firstHeaderRow="0" firstDataRow="1" firstDataCol="1"/>
  <pivotFields count="18">
    <pivotField showAll="0"/>
    <pivotField numFmtId="14" showAll="0">
      <items count="328">
        <item x="65"/>
        <item x="313"/>
        <item x="251"/>
        <item x="183"/>
        <item x="254"/>
        <item x="99"/>
        <item x="19"/>
        <item x="108"/>
        <item x="106"/>
        <item x="208"/>
        <item x="101"/>
        <item x="264"/>
        <item x="60"/>
        <item x="57"/>
        <item x="179"/>
        <item x="2"/>
        <item x="62"/>
        <item x="87"/>
        <item x="288"/>
        <item x="127"/>
        <item x="193"/>
        <item x="124"/>
        <item x="93"/>
        <item x="6"/>
        <item x="211"/>
        <item x="8"/>
        <item x="272"/>
        <item x="153"/>
        <item x="36"/>
        <item x="130"/>
        <item x="194"/>
        <item x="110"/>
        <item x="191"/>
        <item x="42"/>
        <item x="23"/>
        <item x="309"/>
        <item x="166"/>
        <item x="258"/>
        <item x="18"/>
        <item x="29"/>
        <item x="24"/>
        <item x="180"/>
        <item x="320"/>
        <item x="185"/>
        <item x="265"/>
        <item x="47"/>
        <item x="54"/>
        <item x="267"/>
        <item x="44"/>
        <item x="290"/>
        <item x="84"/>
        <item x="319"/>
        <item x="1"/>
        <item x="237"/>
        <item x="5"/>
        <item x="229"/>
        <item x="287"/>
        <item x="174"/>
        <item x="154"/>
        <item x="33"/>
        <item x="114"/>
        <item x="142"/>
        <item x="92"/>
        <item x="203"/>
        <item x="50"/>
        <item x="126"/>
        <item x="234"/>
        <item x="73"/>
        <item x="159"/>
        <item x="63"/>
        <item x="17"/>
        <item x="181"/>
        <item x="0"/>
        <item x="295"/>
        <item x="162"/>
        <item x="307"/>
        <item x="324"/>
        <item x="67"/>
        <item x="88"/>
        <item x="196"/>
        <item x="155"/>
        <item x="156"/>
        <item x="75"/>
        <item x="255"/>
        <item x="310"/>
        <item x="136"/>
        <item x="249"/>
        <item x="245"/>
        <item x="15"/>
        <item x="281"/>
        <item x="235"/>
        <item x="119"/>
        <item x="219"/>
        <item x="205"/>
        <item x="55"/>
        <item x="297"/>
        <item x="80"/>
        <item x="230"/>
        <item x="51"/>
        <item x="115"/>
        <item x="150"/>
        <item x="53"/>
        <item x="256"/>
        <item x="90"/>
        <item x="261"/>
        <item x="304"/>
        <item x="11"/>
        <item x="285"/>
        <item x="148"/>
        <item x="225"/>
        <item x="257"/>
        <item x="209"/>
        <item x="271"/>
        <item x="40"/>
        <item x="214"/>
        <item x="34"/>
        <item x="104"/>
        <item x="239"/>
        <item x="118"/>
        <item x="21"/>
        <item x="59"/>
        <item x="26"/>
        <item x="244"/>
        <item x="277"/>
        <item x="167"/>
        <item x="247"/>
        <item x="56"/>
        <item x="276"/>
        <item x="98"/>
        <item x="30"/>
        <item x="173"/>
        <item x="275"/>
        <item x="12"/>
        <item x="3"/>
        <item x="160"/>
        <item x="112"/>
        <item x="145"/>
        <item x="243"/>
        <item x="123"/>
        <item x="28"/>
        <item x="252"/>
        <item x="43"/>
        <item x="165"/>
        <item x="152"/>
        <item x="79"/>
        <item x="100"/>
        <item x="250"/>
        <item x="48"/>
        <item x="97"/>
        <item x="260"/>
        <item x="111"/>
        <item x="311"/>
        <item x="151"/>
        <item x="109"/>
        <item x="149"/>
        <item x="207"/>
        <item x="157"/>
        <item x="78"/>
        <item x="221"/>
        <item x="326"/>
        <item x="52"/>
        <item x="25"/>
        <item x="58"/>
        <item x="13"/>
        <item x="121"/>
        <item x="215"/>
        <item x="228"/>
        <item x="9"/>
        <item x="178"/>
        <item x="240"/>
        <item x="105"/>
        <item x="195"/>
        <item x="200"/>
        <item x="238"/>
        <item x="176"/>
        <item x="120"/>
        <item x="222"/>
        <item x="134"/>
        <item x="107"/>
        <item x="7"/>
        <item x="68"/>
        <item x="302"/>
        <item x="269"/>
        <item x="286"/>
        <item x="69"/>
        <item x="242"/>
        <item x="213"/>
        <item x="132"/>
        <item x="41"/>
        <item x="45"/>
        <item x="76"/>
        <item x="233"/>
        <item x="280"/>
        <item x="22"/>
        <item x="171"/>
        <item x="323"/>
        <item x="184"/>
        <item x="175"/>
        <item x="103"/>
        <item x="289"/>
        <item x="294"/>
        <item x="71"/>
        <item x="83"/>
        <item x="231"/>
        <item x="94"/>
        <item x="299"/>
        <item x="227"/>
        <item x="204"/>
        <item x="86"/>
        <item x="61"/>
        <item x="217"/>
        <item x="246"/>
        <item x="168"/>
        <item x="147"/>
        <item x="279"/>
        <item x="314"/>
        <item x="187"/>
        <item x="66"/>
        <item x="158"/>
        <item x="305"/>
        <item x="201"/>
        <item x="102"/>
        <item x="10"/>
        <item x="259"/>
        <item x="266"/>
        <item x="91"/>
        <item x="198"/>
        <item x="139"/>
        <item x="38"/>
        <item x="82"/>
        <item x="315"/>
        <item x="140"/>
        <item x="318"/>
        <item x="141"/>
        <item x="210"/>
        <item x="303"/>
        <item x="291"/>
        <item x="301"/>
        <item x="268"/>
        <item x="248"/>
        <item x="46"/>
        <item x="253"/>
        <item x="144"/>
        <item x="16"/>
        <item x="188"/>
        <item x="186"/>
        <item x="218"/>
        <item x="37"/>
        <item x="164"/>
        <item x="161"/>
        <item x="143"/>
        <item x="129"/>
        <item x="72"/>
        <item x="81"/>
        <item x="163"/>
        <item x="321"/>
        <item x="85"/>
        <item x="4"/>
        <item x="39"/>
        <item x="306"/>
        <item x="77"/>
        <item x="273"/>
        <item x="308"/>
        <item x="113"/>
        <item x="70"/>
        <item x="32"/>
        <item x="122"/>
        <item x="125"/>
        <item x="199"/>
        <item x="317"/>
        <item x="146"/>
        <item x="216"/>
        <item x="190"/>
        <item x="192"/>
        <item x="116"/>
        <item x="27"/>
        <item x="117"/>
        <item x="283"/>
        <item x="135"/>
        <item x="95"/>
        <item x="133"/>
        <item x="35"/>
        <item x="74"/>
        <item x="89"/>
        <item x="278"/>
        <item x="206"/>
        <item x="31"/>
        <item x="241"/>
        <item x="169"/>
        <item x="212"/>
        <item x="177"/>
        <item x="298"/>
        <item x="96"/>
        <item x="131"/>
        <item x="197"/>
        <item x="284"/>
        <item x="262"/>
        <item x="138"/>
        <item x="170"/>
        <item x="223"/>
        <item x="293"/>
        <item x="232"/>
        <item x="236"/>
        <item x="14"/>
        <item x="20"/>
        <item x="172"/>
        <item x="322"/>
        <item x="137"/>
        <item x="189"/>
        <item x="64"/>
        <item x="292"/>
        <item x="263"/>
        <item x="128"/>
        <item x="312"/>
        <item x="300"/>
        <item x="226"/>
        <item x="296"/>
        <item x="325"/>
        <item x="282"/>
        <item x="274"/>
        <item x="224"/>
        <item x="182"/>
        <item x="202"/>
        <item x="49"/>
        <item x="220"/>
        <item x="316"/>
        <item x="270"/>
        <item t="default"/>
      </items>
    </pivotField>
    <pivotField showAll="0"/>
    <pivotField showAll="0"/>
    <pivotField axis="axisRow" showAll="0" sortType="descending">
      <items count="8">
        <item x="0"/>
        <item x="1"/>
        <item x="2"/>
        <item x="4"/>
        <item x="3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8">
    <i>
      <x v="4"/>
    </i>
    <i>
      <x v="1"/>
    </i>
    <i>
      <x v="2"/>
    </i>
    <i>
      <x v="5"/>
    </i>
    <i>
      <x v="6"/>
    </i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re Preventivate" fld="5" baseField="0" baseItem="0"/>
    <dataField name="Sum Ore Fatturate" fld="6" baseField="0" baseItem="0"/>
    <dataField name="  Scostamento Ore" fld="1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F5362-6311-436D-9D1A-0D5A5484752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5:F46" firstHeaderRow="0" firstDataRow="1" firstDataCol="1"/>
  <pivotFields count="18">
    <pivotField showAll="0"/>
    <pivotField numFmtId="14" showAll="0">
      <items count="328">
        <item x="65"/>
        <item x="313"/>
        <item x="251"/>
        <item x="183"/>
        <item x="254"/>
        <item x="99"/>
        <item x="19"/>
        <item x="108"/>
        <item x="106"/>
        <item x="208"/>
        <item x="101"/>
        <item x="264"/>
        <item x="60"/>
        <item x="57"/>
        <item x="179"/>
        <item x="2"/>
        <item x="62"/>
        <item x="87"/>
        <item x="288"/>
        <item x="127"/>
        <item x="193"/>
        <item x="124"/>
        <item x="93"/>
        <item x="6"/>
        <item x="211"/>
        <item x="8"/>
        <item x="272"/>
        <item x="153"/>
        <item x="36"/>
        <item x="130"/>
        <item x="194"/>
        <item x="110"/>
        <item x="191"/>
        <item x="42"/>
        <item x="23"/>
        <item x="309"/>
        <item x="166"/>
        <item x="258"/>
        <item x="18"/>
        <item x="29"/>
        <item x="24"/>
        <item x="180"/>
        <item x="320"/>
        <item x="185"/>
        <item x="265"/>
        <item x="47"/>
        <item x="54"/>
        <item x="267"/>
        <item x="44"/>
        <item x="290"/>
        <item x="84"/>
        <item x="319"/>
        <item x="1"/>
        <item x="237"/>
        <item x="5"/>
        <item x="229"/>
        <item x="287"/>
        <item x="174"/>
        <item x="154"/>
        <item x="33"/>
        <item x="114"/>
        <item x="142"/>
        <item x="92"/>
        <item x="203"/>
        <item x="50"/>
        <item x="126"/>
        <item x="234"/>
        <item x="73"/>
        <item x="159"/>
        <item x="63"/>
        <item x="17"/>
        <item x="181"/>
        <item x="0"/>
        <item x="295"/>
        <item x="162"/>
        <item x="307"/>
        <item x="324"/>
        <item x="67"/>
        <item x="88"/>
        <item x="196"/>
        <item x="155"/>
        <item x="156"/>
        <item x="75"/>
        <item x="255"/>
        <item x="310"/>
        <item x="136"/>
        <item x="249"/>
        <item x="245"/>
        <item x="15"/>
        <item x="281"/>
        <item x="235"/>
        <item x="119"/>
        <item x="219"/>
        <item x="205"/>
        <item x="55"/>
        <item x="297"/>
        <item x="80"/>
        <item x="230"/>
        <item x="51"/>
        <item x="115"/>
        <item x="150"/>
        <item x="53"/>
        <item x="256"/>
        <item x="90"/>
        <item x="261"/>
        <item x="304"/>
        <item x="11"/>
        <item x="285"/>
        <item x="148"/>
        <item x="225"/>
        <item x="257"/>
        <item x="209"/>
        <item x="271"/>
        <item x="40"/>
        <item x="214"/>
        <item x="34"/>
        <item x="104"/>
        <item x="239"/>
        <item x="118"/>
        <item x="21"/>
        <item x="59"/>
        <item x="26"/>
        <item x="244"/>
        <item x="277"/>
        <item x="167"/>
        <item x="247"/>
        <item x="56"/>
        <item x="276"/>
        <item x="98"/>
        <item x="30"/>
        <item x="173"/>
        <item x="275"/>
        <item x="12"/>
        <item x="3"/>
        <item x="160"/>
        <item x="112"/>
        <item x="145"/>
        <item x="243"/>
        <item x="123"/>
        <item x="28"/>
        <item x="252"/>
        <item x="43"/>
        <item x="165"/>
        <item x="152"/>
        <item x="79"/>
        <item x="100"/>
        <item x="250"/>
        <item x="48"/>
        <item x="97"/>
        <item x="260"/>
        <item x="111"/>
        <item x="311"/>
        <item x="151"/>
        <item x="109"/>
        <item x="149"/>
        <item x="207"/>
        <item x="157"/>
        <item x="78"/>
        <item x="221"/>
        <item x="326"/>
        <item x="52"/>
        <item x="25"/>
        <item x="58"/>
        <item x="13"/>
        <item x="121"/>
        <item x="215"/>
        <item x="228"/>
        <item x="9"/>
        <item x="178"/>
        <item x="240"/>
        <item x="105"/>
        <item x="195"/>
        <item x="200"/>
        <item x="238"/>
        <item x="176"/>
        <item x="120"/>
        <item x="222"/>
        <item x="134"/>
        <item x="107"/>
        <item x="7"/>
        <item x="68"/>
        <item x="302"/>
        <item x="269"/>
        <item x="286"/>
        <item x="69"/>
        <item x="242"/>
        <item x="213"/>
        <item x="132"/>
        <item x="41"/>
        <item x="45"/>
        <item x="76"/>
        <item x="233"/>
        <item x="280"/>
        <item x="22"/>
        <item x="171"/>
        <item x="323"/>
        <item x="184"/>
        <item x="175"/>
        <item x="103"/>
        <item x="289"/>
        <item x="294"/>
        <item x="71"/>
        <item x="83"/>
        <item x="231"/>
        <item x="94"/>
        <item x="299"/>
        <item x="227"/>
        <item x="204"/>
        <item x="86"/>
        <item x="61"/>
        <item x="217"/>
        <item x="246"/>
        <item x="168"/>
        <item x="147"/>
        <item x="279"/>
        <item x="314"/>
        <item x="187"/>
        <item x="66"/>
        <item x="158"/>
        <item x="305"/>
        <item x="201"/>
        <item x="102"/>
        <item x="10"/>
        <item x="259"/>
        <item x="266"/>
        <item x="91"/>
        <item x="198"/>
        <item x="139"/>
        <item x="38"/>
        <item x="82"/>
        <item x="315"/>
        <item x="140"/>
        <item x="318"/>
        <item x="141"/>
        <item x="210"/>
        <item x="303"/>
        <item x="291"/>
        <item x="301"/>
        <item x="268"/>
        <item x="248"/>
        <item x="46"/>
        <item x="253"/>
        <item x="144"/>
        <item x="16"/>
        <item x="188"/>
        <item x="186"/>
        <item x="218"/>
        <item x="37"/>
        <item x="164"/>
        <item x="161"/>
        <item x="143"/>
        <item x="129"/>
        <item x="72"/>
        <item x="81"/>
        <item x="163"/>
        <item x="321"/>
        <item x="85"/>
        <item x="4"/>
        <item x="39"/>
        <item x="306"/>
        <item x="77"/>
        <item x="273"/>
        <item x="308"/>
        <item x="113"/>
        <item x="70"/>
        <item x="32"/>
        <item x="122"/>
        <item x="125"/>
        <item x="199"/>
        <item x="317"/>
        <item x="146"/>
        <item x="216"/>
        <item x="190"/>
        <item x="192"/>
        <item x="116"/>
        <item x="27"/>
        <item x="117"/>
        <item x="283"/>
        <item x="135"/>
        <item x="95"/>
        <item x="133"/>
        <item x="35"/>
        <item x="74"/>
        <item x="89"/>
        <item x="278"/>
        <item x="206"/>
        <item x="31"/>
        <item x="241"/>
        <item x="169"/>
        <item x="212"/>
        <item x="177"/>
        <item x="298"/>
        <item x="96"/>
        <item x="131"/>
        <item x="197"/>
        <item x="284"/>
        <item x="262"/>
        <item x="138"/>
        <item x="170"/>
        <item x="223"/>
        <item x="293"/>
        <item x="232"/>
        <item x="236"/>
        <item x="14"/>
        <item x="20"/>
        <item x="172"/>
        <item x="322"/>
        <item x="137"/>
        <item x="189"/>
        <item x="64"/>
        <item x="292"/>
        <item x="263"/>
        <item x="128"/>
        <item x="312"/>
        <item x="300"/>
        <item x="226"/>
        <item x="296"/>
        <item x="325"/>
        <item x="282"/>
        <item x="274"/>
        <item x="224"/>
        <item x="182"/>
        <item x="202"/>
        <item x="49"/>
        <item x="220"/>
        <item x="316"/>
        <item x="270"/>
        <item t="default"/>
      </items>
    </pivotField>
    <pivotField showAll="0"/>
    <pivotField showAll="0"/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axis="axisRow" showAll="0" sortType="descending">
      <items count="11">
        <item x="0"/>
        <item x="8"/>
        <item x="4"/>
        <item x="7"/>
        <item x="2"/>
        <item x="9"/>
        <item x="1"/>
        <item x="6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11">
    <i>
      <x v="1"/>
    </i>
    <i>
      <x v="6"/>
    </i>
    <i>
      <x/>
    </i>
    <i>
      <x v="5"/>
    </i>
    <i>
      <x v="4"/>
    </i>
    <i>
      <x v="3"/>
    </i>
    <i>
      <x v="9"/>
    </i>
    <i>
      <x v="8"/>
    </i>
    <i>
      <x v="7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Fatturato" fld="11" baseField="0" baseItem="0"/>
    <dataField name="Tariffa Media in  €" fld="7" subtotal="average" baseField="13" baseItem="0"/>
    <dataField name="Sum of Scostamento Ore" fld="14" baseField="0" baseItem="0"/>
    <dataField name="Sum of Ore_Fatturate" fld="6" baseField="0" baseItem="0"/>
    <dataField name="Sum of Ore_Preventivate" fld="5" baseField="0" baseItem="0"/>
  </dataFields>
  <chartFormats count="2"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01878-1954-462C-846B-1A0F79F372D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A1:C12" firstHeaderRow="0" firstDataRow="1" firstDataCol="1"/>
  <pivotFields count="18">
    <pivotField showAll="0"/>
    <pivotField numFmtId="14" showAll="0">
      <items count="328">
        <item x="65"/>
        <item x="313"/>
        <item x="251"/>
        <item x="183"/>
        <item x="254"/>
        <item x="99"/>
        <item x="19"/>
        <item x="108"/>
        <item x="106"/>
        <item x="208"/>
        <item x="101"/>
        <item x="264"/>
        <item x="60"/>
        <item x="57"/>
        <item x="179"/>
        <item x="2"/>
        <item x="62"/>
        <item x="87"/>
        <item x="288"/>
        <item x="127"/>
        <item x="193"/>
        <item x="124"/>
        <item x="93"/>
        <item x="6"/>
        <item x="211"/>
        <item x="8"/>
        <item x="272"/>
        <item x="153"/>
        <item x="36"/>
        <item x="130"/>
        <item x="194"/>
        <item x="110"/>
        <item x="191"/>
        <item x="42"/>
        <item x="23"/>
        <item x="309"/>
        <item x="166"/>
        <item x="258"/>
        <item x="18"/>
        <item x="29"/>
        <item x="24"/>
        <item x="180"/>
        <item x="320"/>
        <item x="185"/>
        <item x="265"/>
        <item x="47"/>
        <item x="54"/>
        <item x="267"/>
        <item x="44"/>
        <item x="290"/>
        <item x="84"/>
        <item x="319"/>
        <item x="1"/>
        <item x="237"/>
        <item x="5"/>
        <item x="229"/>
        <item x="287"/>
        <item x="174"/>
        <item x="154"/>
        <item x="33"/>
        <item x="114"/>
        <item x="142"/>
        <item x="92"/>
        <item x="203"/>
        <item x="50"/>
        <item x="126"/>
        <item x="234"/>
        <item x="73"/>
        <item x="159"/>
        <item x="63"/>
        <item x="17"/>
        <item x="181"/>
        <item x="0"/>
        <item x="295"/>
        <item x="162"/>
        <item x="307"/>
        <item x="324"/>
        <item x="67"/>
        <item x="88"/>
        <item x="196"/>
        <item x="155"/>
        <item x="156"/>
        <item x="75"/>
        <item x="255"/>
        <item x="310"/>
        <item x="136"/>
        <item x="249"/>
        <item x="245"/>
        <item x="15"/>
        <item x="281"/>
        <item x="235"/>
        <item x="119"/>
        <item x="219"/>
        <item x="205"/>
        <item x="55"/>
        <item x="297"/>
        <item x="80"/>
        <item x="230"/>
        <item x="51"/>
        <item x="115"/>
        <item x="150"/>
        <item x="53"/>
        <item x="256"/>
        <item x="90"/>
        <item x="261"/>
        <item x="304"/>
        <item x="11"/>
        <item x="285"/>
        <item x="148"/>
        <item x="225"/>
        <item x="257"/>
        <item x="209"/>
        <item x="271"/>
        <item x="40"/>
        <item x="214"/>
        <item x="34"/>
        <item x="104"/>
        <item x="239"/>
        <item x="118"/>
        <item x="21"/>
        <item x="59"/>
        <item x="26"/>
        <item x="244"/>
        <item x="277"/>
        <item x="167"/>
        <item x="247"/>
        <item x="56"/>
        <item x="276"/>
        <item x="98"/>
        <item x="30"/>
        <item x="173"/>
        <item x="275"/>
        <item x="12"/>
        <item x="3"/>
        <item x="160"/>
        <item x="112"/>
        <item x="145"/>
        <item x="243"/>
        <item x="123"/>
        <item x="28"/>
        <item x="252"/>
        <item x="43"/>
        <item x="165"/>
        <item x="152"/>
        <item x="79"/>
        <item x="100"/>
        <item x="250"/>
        <item x="48"/>
        <item x="97"/>
        <item x="260"/>
        <item x="111"/>
        <item x="311"/>
        <item x="151"/>
        <item x="109"/>
        <item x="149"/>
        <item x="207"/>
        <item x="157"/>
        <item x="78"/>
        <item x="221"/>
        <item x="326"/>
        <item x="52"/>
        <item x="25"/>
        <item x="58"/>
        <item x="13"/>
        <item x="121"/>
        <item x="215"/>
        <item x="228"/>
        <item x="9"/>
        <item x="178"/>
        <item x="240"/>
        <item x="105"/>
        <item x="195"/>
        <item x="200"/>
        <item x="238"/>
        <item x="176"/>
        <item x="120"/>
        <item x="222"/>
        <item x="134"/>
        <item x="107"/>
        <item x="7"/>
        <item x="68"/>
        <item x="302"/>
        <item x="269"/>
        <item x="286"/>
        <item x="69"/>
        <item x="242"/>
        <item x="213"/>
        <item x="132"/>
        <item x="41"/>
        <item x="45"/>
        <item x="76"/>
        <item x="233"/>
        <item x="280"/>
        <item x="22"/>
        <item x="171"/>
        <item x="323"/>
        <item x="184"/>
        <item x="175"/>
        <item x="103"/>
        <item x="289"/>
        <item x="294"/>
        <item x="71"/>
        <item x="83"/>
        <item x="231"/>
        <item x="94"/>
        <item x="299"/>
        <item x="227"/>
        <item x="204"/>
        <item x="86"/>
        <item x="61"/>
        <item x="217"/>
        <item x="246"/>
        <item x="168"/>
        <item x="147"/>
        <item x="279"/>
        <item x="314"/>
        <item x="187"/>
        <item x="66"/>
        <item x="158"/>
        <item x="305"/>
        <item x="201"/>
        <item x="102"/>
        <item x="10"/>
        <item x="259"/>
        <item x="266"/>
        <item x="91"/>
        <item x="198"/>
        <item x="139"/>
        <item x="38"/>
        <item x="82"/>
        <item x="315"/>
        <item x="140"/>
        <item x="318"/>
        <item x="141"/>
        <item x="210"/>
        <item x="303"/>
        <item x="291"/>
        <item x="301"/>
        <item x="268"/>
        <item x="248"/>
        <item x="46"/>
        <item x="253"/>
        <item x="144"/>
        <item x="16"/>
        <item x="188"/>
        <item x="186"/>
        <item x="218"/>
        <item x="37"/>
        <item x="164"/>
        <item x="161"/>
        <item x="143"/>
        <item x="129"/>
        <item x="72"/>
        <item x="81"/>
        <item x="163"/>
        <item x="321"/>
        <item x="85"/>
        <item x="4"/>
        <item x="39"/>
        <item x="306"/>
        <item x="77"/>
        <item x="273"/>
        <item x="308"/>
        <item x="113"/>
        <item x="70"/>
        <item x="32"/>
        <item x="122"/>
        <item x="125"/>
        <item x="199"/>
        <item x="317"/>
        <item x="146"/>
        <item x="216"/>
        <item x="190"/>
        <item x="192"/>
        <item x="116"/>
        <item x="27"/>
        <item x="117"/>
        <item x="283"/>
        <item x="135"/>
        <item x="95"/>
        <item x="133"/>
        <item x="35"/>
        <item x="74"/>
        <item x="89"/>
        <item x="278"/>
        <item x="206"/>
        <item x="31"/>
        <item x="241"/>
        <item x="169"/>
        <item x="212"/>
        <item x="177"/>
        <item x="298"/>
        <item x="96"/>
        <item x="131"/>
        <item x="197"/>
        <item x="284"/>
        <item x="262"/>
        <item x="138"/>
        <item x="170"/>
        <item x="223"/>
        <item x="293"/>
        <item x="232"/>
        <item x="236"/>
        <item x="14"/>
        <item x="20"/>
        <item x="172"/>
        <item x="322"/>
        <item x="137"/>
        <item x="189"/>
        <item x="64"/>
        <item x="292"/>
        <item x="263"/>
        <item x="128"/>
        <item x="312"/>
        <item x="300"/>
        <item x="226"/>
        <item x="296"/>
        <item x="325"/>
        <item x="282"/>
        <item x="274"/>
        <item x="224"/>
        <item x="182"/>
        <item x="202"/>
        <item x="49"/>
        <item x="220"/>
        <item x="316"/>
        <item x="270"/>
        <item t="default"/>
      </items>
    </pivotField>
    <pivotField showAll="0"/>
    <pivotField showAll="0"/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axis="axisRow" showAll="0" sortType="descending">
      <items count="11">
        <item x="0"/>
        <item x="8"/>
        <item x="4"/>
        <item x="7"/>
        <item x="2"/>
        <item x="9"/>
        <item x="1"/>
        <item x="6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11">
    <i>
      <x v="1"/>
    </i>
    <i>
      <x v="6"/>
    </i>
    <i>
      <x/>
    </i>
    <i>
      <x v="5"/>
    </i>
    <i>
      <x v="4"/>
    </i>
    <i>
      <x v="3"/>
    </i>
    <i>
      <x v="9"/>
    </i>
    <i>
      <x v="8"/>
    </i>
    <i>
      <x v="7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Fatturato" fld="11" baseField="0" baseItem="0"/>
    <dataField name="Tariffa Media in  €" fld="7" subtotal="average" baseField="13" baseItem="0"/>
  </dataFields>
  <chartFormats count="2"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B1518-DC8D-4B6E-92BC-ECB36A7DB90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I12" firstHeaderRow="1" firstDataRow="3" firstDataCol="1"/>
  <pivotFields count="18">
    <pivotField showAll="0"/>
    <pivotField numFmtId="14" showAll="0">
      <items count="328">
        <item x="65"/>
        <item x="313"/>
        <item x="251"/>
        <item x="183"/>
        <item x="254"/>
        <item x="99"/>
        <item x="19"/>
        <item x="108"/>
        <item x="106"/>
        <item x="208"/>
        <item x="101"/>
        <item x="264"/>
        <item x="60"/>
        <item x="57"/>
        <item x="179"/>
        <item x="2"/>
        <item x="62"/>
        <item x="87"/>
        <item x="288"/>
        <item x="127"/>
        <item x="193"/>
        <item x="124"/>
        <item x="93"/>
        <item x="6"/>
        <item x="211"/>
        <item x="8"/>
        <item x="272"/>
        <item x="153"/>
        <item x="36"/>
        <item x="130"/>
        <item x="194"/>
        <item x="110"/>
        <item x="191"/>
        <item x="42"/>
        <item x="23"/>
        <item x="309"/>
        <item x="166"/>
        <item x="258"/>
        <item x="18"/>
        <item x="29"/>
        <item x="24"/>
        <item x="180"/>
        <item x="320"/>
        <item x="185"/>
        <item x="265"/>
        <item x="47"/>
        <item x="54"/>
        <item x="267"/>
        <item x="44"/>
        <item x="290"/>
        <item x="84"/>
        <item x="319"/>
        <item x="1"/>
        <item x="237"/>
        <item x="5"/>
        <item x="229"/>
        <item x="287"/>
        <item x="174"/>
        <item x="154"/>
        <item x="33"/>
        <item x="114"/>
        <item x="142"/>
        <item x="92"/>
        <item x="203"/>
        <item x="50"/>
        <item x="126"/>
        <item x="234"/>
        <item x="73"/>
        <item x="159"/>
        <item x="63"/>
        <item x="17"/>
        <item x="181"/>
        <item x="0"/>
        <item x="295"/>
        <item x="162"/>
        <item x="307"/>
        <item x="324"/>
        <item x="67"/>
        <item x="88"/>
        <item x="196"/>
        <item x="155"/>
        <item x="156"/>
        <item x="75"/>
        <item x="255"/>
        <item x="310"/>
        <item x="136"/>
        <item x="249"/>
        <item x="245"/>
        <item x="15"/>
        <item x="281"/>
        <item x="235"/>
        <item x="119"/>
        <item x="219"/>
        <item x="205"/>
        <item x="55"/>
        <item x="297"/>
        <item x="80"/>
        <item x="230"/>
        <item x="51"/>
        <item x="115"/>
        <item x="150"/>
        <item x="53"/>
        <item x="256"/>
        <item x="90"/>
        <item x="261"/>
        <item x="304"/>
        <item x="11"/>
        <item x="285"/>
        <item x="148"/>
        <item x="225"/>
        <item x="257"/>
        <item x="209"/>
        <item x="271"/>
        <item x="40"/>
        <item x="214"/>
        <item x="34"/>
        <item x="104"/>
        <item x="239"/>
        <item x="118"/>
        <item x="21"/>
        <item x="59"/>
        <item x="26"/>
        <item x="244"/>
        <item x="277"/>
        <item x="167"/>
        <item x="247"/>
        <item x="56"/>
        <item x="276"/>
        <item x="98"/>
        <item x="30"/>
        <item x="173"/>
        <item x="275"/>
        <item x="12"/>
        <item x="3"/>
        <item x="160"/>
        <item x="112"/>
        <item x="145"/>
        <item x="243"/>
        <item x="123"/>
        <item x="28"/>
        <item x="252"/>
        <item x="43"/>
        <item x="165"/>
        <item x="152"/>
        <item x="79"/>
        <item x="100"/>
        <item x="250"/>
        <item x="48"/>
        <item x="97"/>
        <item x="260"/>
        <item x="111"/>
        <item x="311"/>
        <item x="151"/>
        <item x="109"/>
        <item x="149"/>
        <item x="207"/>
        <item x="157"/>
        <item x="78"/>
        <item x="221"/>
        <item x="326"/>
        <item x="52"/>
        <item x="25"/>
        <item x="58"/>
        <item x="13"/>
        <item x="121"/>
        <item x="215"/>
        <item x="228"/>
        <item x="9"/>
        <item x="178"/>
        <item x="240"/>
        <item x="105"/>
        <item x="195"/>
        <item x="200"/>
        <item x="238"/>
        <item x="176"/>
        <item x="120"/>
        <item x="222"/>
        <item x="134"/>
        <item x="107"/>
        <item x="7"/>
        <item x="68"/>
        <item x="302"/>
        <item x="269"/>
        <item x="286"/>
        <item x="69"/>
        <item x="242"/>
        <item x="213"/>
        <item x="132"/>
        <item x="41"/>
        <item x="45"/>
        <item x="76"/>
        <item x="233"/>
        <item x="280"/>
        <item x="22"/>
        <item x="171"/>
        <item x="323"/>
        <item x="184"/>
        <item x="175"/>
        <item x="103"/>
        <item x="289"/>
        <item x="294"/>
        <item x="71"/>
        <item x="83"/>
        <item x="231"/>
        <item x="94"/>
        <item x="299"/>
        <item x="227"/>
        <item x="204"/>
        <item x="86"/>
        <item x="61"/>
        <item x="217"/>
        <item x="246"/>
        <item x="168"/>
        <item x="147"/>
        <item x="279"/>
        <item x="314"/>
        <item x="187"/>
        <item x="66"/>
        <item x="158"/>
        <item x="305"/>
        <item x="201"/>
        <item x="102"/>
        <item x="10"/>
        <item x="259"/>
        <item x="266"/>
        <item x="91"/>
        <item x="198"/>
        <item x="139"/>
        <item x="38"/>
        <item x="82"/>
        <item x="315"/>
        <item x="140"/>
        <item x="318"/>
        <item x="141"/>
        <item x="210"/>
        <item x="303"/>
        <item x="291"/>
        <item x="301"/>
        <item x="268"/>
        <item x="248"/>
        <item x="46"/>
        <item x="253"/>
        <item x="144"/>
        <item x="16"/>
        <item x="188"/>
        <item x="186"/>
        <item x="218"/>
        <item x="37"/>
        <item x="164"/>
        <item x="161"/>
        <item x="143"/>
        <item x="129"/>
        <item x="72"/>
        <item x="81"/>
        <item x="163"/>
        <item x="321"/>
        <item x="85"/>
        <item x="4"/>
        <item x="39"/>
        <item x="306"/>
        <item x="77"/>
        <item x="273"/>
        <item x="308"/>
        <item x="113"/>
        <item x="70"/>
        <item x="32"/>
        <item x="122"/>
        <item x="125"/>
        <item x="199"/>
        <item x="317"/>
        <item x="146"/>
        <item x="216"/>
        <item x="190"/>
        <item x="192"/>
        <item x="116"/>
        <item x="27"/>
        <item x="117"/>
        <item x="283"/>
        <item x="135"/>
        <item x="95"/>
        <item x="133"/>
        <item x="35"/>
        <item x="74"/>
        <item x="89"/>
        <item x="278"/>
        <item x="206"/>
        <item x="31"/>
        <item x="241"/>
        <item x="169"/>
        <item x="212"/>
        <item x="177"/>
        <item x="298"/>
        <item x="96"/>
        <item x="131"/>
        <item x="197"/>
        <item x="284"/>
        <item x="262"/>
        <item x="138"/>
        <item x="170"/>
        <item x="223"/>
        <item x="293"/>
        <item x="232"/>
        <item x="236"/>
        <item x="14"/>
        <item x="20"/>
        <item x="172"/>
        <item x="322"/>
        <item x="137"/>
        <item x="189"/>
        <item x="64"/>
        <item x="292"/>
        <item x="263"/>
        <item x="128"/>
        <item x="312"/>
        <item x="300"/>
        <item x="226"/>
        <item x="296"/>
        <item x="325"/>
        <item x="282"/>
        <item x="274"/>
        <item x="224"/>
        <item x="182"/>
        <item x="202"/>
        <item x="49"/>
        <item x="220"/>
        <item x="316"/>
        <item x="27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2"/>
        <item x="1"/>
        <item x="0"/>
        <item t="default"/>
      </items>
    </pivotField>
    <pivotField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2">
    <field x="17"/>
    <field x="16"/>
  </rowFields>
  <rowItems count="9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t="grand">
      <x/>
    </i>
  </rowItems>
  <colFields count="2">
    <field x="1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omma Fatturato" fld="11" baseField="16" baseItem="1"/>
    <dataField name="% totale trimestre" fld="11" showDataAs="percentOfRow" baseField="16" baseItem="1" numFmtId="10"/>
  </dataFields>
  <formats count="28">
    <format dxfId="27">
      <pivotArea outline="0" collapsedLevelsAreSubtotals="1" fieldPosition="0">
        <references count="2">
          <reference field="4294967294" count="2" selected="0">
            <x v="0"/>
            <x v="1"/>
          </reference>
          <reference field="12" count="1" selected="0">
            <x v="0"/>
          </reference>
        </references>
      </pivotArea>
    </format>
    <format dxfId="26">
      <pivotArea dataOnly="0" labelOnly="1" fieldPosition="0">
        <references count="1">
          <reference field="12" count="1">
            <x v="0"/>
          </reference>
        </references>
      </pivotArea>
    </format>
    <format dxfId="25">
      <pivotArea dataOnly="0" labelOnly="1" outline="0" fieldPosition="0">
        <references count="2">
          <reference field="4294967294" count="2">
            <x v="0"/>
            <x v="1"/>
          </reference>
          <reference field="12" count="1" selected="0">
            <x v="0"/>
          </reference>
        </references>
      </pivotArea>
    </format>
    <format dxfId="24">
      <pivotArea outline="0" collapsedLevelsAreSubtotals="1" fieldPosition="0">
        <references count="2">
          <reference field="4294967294" count="2" selected="0">
            <x v="0"/>
            <x v="1"/>
          </reference>
          <reference field="12" count="1" selected="0">
            <x v="1"/>
          </reference>
        </references>
      </pivotArea>
    </format>
    <format dxfId="23">
      <pivotArea dataOnly="0" labelOnly="1" fieldPosition="0">
        <references count="1">
          <reference field="12" count="1">
            <x v="1"/>
          </reference>
        </references>
      </pivotArea>
    </format>
    <format dxfId="22">
      <pivotArea dataOnly="0" labelOnly="1" outline="0" fieldPosition="0">
        <references count="2">
          <reference field="4294967294" count="2">
            <x v="0"/>
            <x v="1"/>
          </reference>
          <reference field="12" count="1" selected="0">
            <x v="1"/>
          </reference>
        </references>
      </pivotArea>
    </format>
    <format dxfId="21">
      <pivotArea outline="0" collapsedLevelsAreSubtotals="1" fieldPosition="0">
        <references count="2">
          <reference field="4294967294" count="2" selected="0">
            <x v="0"/>
            <x v="1"/>
          </reference>
          <reference field="12" count="1" selected="0">
            <x v="2"/>
          </reference>
        </references>
      </pivotArea>
    </format>
    <format dxfId="20">
      <pivotArea dataOnly="0" labelOnly="1" fieldPosition="0">
        <references count="1">
          <reference field="12" count="1">
            <x v="2"/>
          </reference>
        </references>
      </pivotArea>
    </format>
    <format dxfId="19">
      <pivotArea dataOnly="0" labelOnly="1" outline="0" fieldPosition="0">
        <references count="2">
          <reference field="4294967294" count="2">
            <x v="0"/>
            <x v="1"/>
          </reference>
          <reference field="12" count="1" selected="0">
            <x v="2"/>
          </reference>
        </references>
      </pivotArea>
    </format>
    <format dxfId="18">
      <pivotArea outline="0" collapsedLevelsAreSubtotals="1" fieldPosition="0">
        <references count="2">
          <reference field="4294967294" count="2" selected="0">
            <x v="0"/>
            <x v="1"/>
          </reference>
          <reference field="12" count="1" selected="0">
            <x v="2"/>
          </reference>
        </references>
      </pivotArea>
    </format>
    <format dxfId="17">
      <pivotArea dataOnly="0" labelOnly="1" fieldPosition="0">
        <references count="1">
          <reference field="12" count="1">
            <x v="2"/>
          </reference>
        </references>
      </pivotArea>
    </format>
    <format dxfId="16">
      <pivotArea dataOnly="0" labelOnly="1" outline="0" fieldPosition="0">
        <references count="2">
          <reference field="4294967294" count="2">
            <x v="0"/>
            <x v="1"/>
          </reference>
          <reference field="12" count="1" selected="0">
            <x v="2"/>
          </reference>
        </references>
      </pivotArea>
    </format>
    <format dxfId="15">
      <pivotArea collapsedLevelsAreSubtotals="1" fieldPosition="0">
        <references count="1">
          <reference field="16" count="1">
            <x v="2"/>
          </reference>
        </references>
      </pivotArea>
    </format>
    <format dxfId="14">
      <pivotArea dataOnly="0" labelOnly="1" fieldPosition="0">
        <references count="1">
          <reference field="16" count="1">
            <x v="2"/>
          </reference>
        </references>
      </pivotArea>
    </format>
    <format dxfId="13">
      <pivotArea collapsedLevelsAreSubtotals="1" fieldPosition="0">
        <references count="2">
          <reference field="16" count="1">
            <x v="2"/>
          </reference>
          <reference field="17" count="1" selected="0">
            <x v="2"/>
          </reference>
        </references>
      </pivotArea>
    </format>
    <format dxfId="12">
      <pivotArea dataOnly="0" labelOnly="1" fieldPosition="0">
        <references count="2">
          <reference field="16" count="1">
            <x v="2"/>
          </reference>
          <reference field="17" count="1" selected="0">
            <x v="2"/>
          </reference>
        </references>
      </pivotArea>
    </format>
    <format dxfId="11">
      <pivotArea collapsedLevelsAreSubtotals="1" fieldPosition="0">
        <references count="4">
          <reference field="4294967294" count="2" selected="0">
            <x v="0"/>
            <x v="1"/>
          </reference>
          <reference field="12" count="1" selected="0">
            <x v="0"/>
          </reference>
          <reference field="16" count="2">
            <x v="3"/>
            <x v="4"/>
          </reference>
          <reference field="17" count="1" selected="0">
            <x v="1"/>
          </reference>
        </references>
      </pivotArea>
    </format>
    <format dxfId="10">
      <pivotArea collapsedLevelsAreSubtotals="1" fieldPosition="0">
        <references count="3">
          <reference field="4294967294" count="2" selected="0">
            <x v="0"/>
            <x v="1"/>
          </reference>
          <reference field="12" count="1" selected="0">
            <x v="0"/>
          </reference>
          <reference field="17" count="1">
            <x v="2"/>
          </reference>
        </references>
      </pivotArea>
    </format>
    <format dxfId="9">
      <pivotArea collapsedLevelsAreSubtotals="1" fieldPosition="0">
        <references count="4">
          <reference field="4294967294" count="2" selected="0">
            <x v="0"/>
            <x v="1"/>
          </reference>
          <reference field="12" count="1" selected="0">
            <x v="0"/>
          </reference>
          <reference field="16" count="2">
            <x v="1"/>
            <x v="2"/>
          </reference>
          <reference field="17" count="1" selected="0">
            <x v="2"/>
          </reference>
        </references>
      </pivotArea>
    </format>
    <format dxfId="8">
      <pivotArea field="12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12" count="1" selected="0">
            <x v="0"/>
          </reference>
        </references>
      </pivotArea>
    </format>
    <format dxfId="7">
      <pivotArea collapsedLevelsAreSubtotals="1" fieldPosition="0">
        <references count="4">
          <reference field="4294967294" count="2" selected="0">
            <x v="0"/>
            <x v="1"/>
          </reference>
          <reference field="12" count="1" selected="0">
            <x v="1"/>
          </reference>
          <reference field="16" count="2">
            <x v="3"/>
            <x v="4"/>
          </reference>
          <reference field="17" count="1" selected="0">
            <x v="1"/>
          </reference>
        </references>
      </pivotArea>
    </format>
    <format dxfId="6">
      <pivotArea collapsedLevelsAreSubtotals="1" fieldPosition="0">
        <references count="3">
          <reference field="4294967294" count="2" selected="0">
            <x v="0"/>
            <x v="1"/>
          </reference>
          <reference field="12" count="1" selected="0">
            <x v="1"/>
          </reference>
          <reference field="17" count="1">
            <x v="2"/>
          </reference>
        </references>
      </pivotArea>
    </format>
    <format dxfId="5">
      <pivotArea collapsedLevelsAreSubtotals="1" fieldPosition="0">
        <references count="4">
          <reference field="4294967294" count="2" selected="0">
            <x v="0"/>
            <x v="1"/>
          </reference>
          <reference field="12" count="1" selected="0">
            <x v="1"/>
          </reference>
          <reference field="16" count="2">
            <x v="1"/>
            <x v="2"/>
          </reference>
          <reference field="17" count="1" selected="0">
            <x v="2"/>
          </reference>
        </references>
      </pivotArea>
    </format>
    <format dxfId="4">
      <pivotArea field="12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12" count="1" selected="0">
            <x v="1"/>
          </reference>
        </references>
      </pivotArea>
    </format>
    <format dxfId="3">
      <pivotArea collapsedLevelsAreSubtotals="1" fieldPosition="0">
        <references count="4">
          <reference field="4294967294" count="2" selected="0">
            <x v="0"/>
            <x v="1"/>
          </reference>
          <reference field="12" count="1" selected="0">
            <x v="2"/>
          </reference>
          <reference field="16" count="2">
            <x v="3"/>
            <x v="4"/>
          </reference>
          <reference field="17" count="1" selected="0">
            <x v="1"/>
          </reference>
        </references>
      </pivotArea>
    </format>
    <format dxfId="2">
      <pivotArea collapsedLevelsAreSubtotals="1" fieldPosition="0">
        <references count="3">
          <reference field="4294967294" count="2" selected="0">
            <x v="0"/>
            <x v="1"/>
          </reference>
          <reference field="12" count="1" selected="0">
            <x v="2"/>
          </reference>
          <reference field="17" count="1">
            <x v="2"/>
          </reference>
        </references>
      </pivotArea>
    </format>
    <format dxfId="1">
      <pivotArea collapsedLevelsAreSubtotals="1" fieldPosition="0">
        <references count="4">
          <reference field="4294967294" count="2" selected="0">
            <x v="0"/>
            <x v="1"/>
          </reference>
          <reference field="12" count="1" selected="0">
            <x v="2"/>
          </reference>
          <reference field="16" count="2">
            <x v="1"/>
            <x v="2"/>
          </reference>
          <reference field="17" count="1" selected="0">
            <x v="2"/>
          </reference>
        </references>
      </pivotArea>
    </format>
    <format dxfId="0">
      <pivotArea field="12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12" count="1" selected="0">
            <x v="2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1"/>
          </reference>
          <reference field="1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zoomScale="75" zoomScaleNormal="130" workbookViewId="0">
      <selection activeCell="R8" sqref="R8"/>
    </sheetView>
  </sheetViews>
  <sheetFormatPr defaultRowHeight="14.4" x14ac:dyDescent="0.3"/>
  <cols>
    <col min="1" max="1" width="12.21875" bestFit="1" customWidth="1"/>
    <col min="2" max="2" width="11.6640625" style="3" bestFit="1" customWidth="1"/>
    <col min="3" max="3" width="24.5546875" bestFit="1" customWidth="1"/>
    <col min="4" max="4" width="15.5546875" bestFit="1" customWidth="1"/>
    <col min="5" max="5" width="18.5546875" bestFit="1" customWidth="1"/>
    <col min="6" max="6" width="16.6640625" bestFit="1" customWidth="1"/>
    <col min="7" max="7" width="13.33203125" bestFit="1" customWidth="1"/>
    <col min="8" max="8" width="11.6640625" bestFit="1" customWidth="1"/>
    <col min="9" max="9" width="10.6640625" bestFit="1" customWidth="1"/>
    <col min="10" max="10" width="11.77734375" bestFit="1" customWidth="1"/>
    <col min="11" max="11" width="9" bestFit="1" customWidth="1"/>
    <col min="12" max="12" width="10.109375" bestFit="1" customWidth="1"/>
    <col min="13" max="13" width="15.5546875" bestFit="1" customWidth="1"/>
    <col min="14" max="14" width="11.21875" bestFit="1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45406</v>
      </c>
      <c r="C2" t="s">
        <v>514</v>
      </c>
      <c r="D2" t="s">
        <v>523</v>
      </c>
      <c r="E2" t="s">
        <v>534</v>
      </c>
      <c r="F2">
        <v>49</v>
      </c>
      <c r="G2">
        <v>52</v>
      </c>
      <c r="H2">
        <v>152</v>
      </c>
      <c r="I2">
        <v>7904</v>
      </c>
      <c r="J2">
        <v>0.22</v>
      </c>
      <c r="K2">
        <v>1738.88</v>
      </c>
      <c r="L2">
        <v>9642.880000000001</v>
      </c>
      <c r="M2" t="s">
        <v>541</v>
      </c>
      <c r="N2" t="s">
        <v>544</v>
      </c>
    </row>
    <row r="3" spans="1:14" x14ac:dyDescent="0.3">
      <c r="A3" t="s">
        <v>15</v>
      </c>
      <c r="B3" s="3">
        <v>45381</v>
      </c>
      <c r="C3" t="s">
        <v>515</v>
      </c>
      <c r="D3" t="s">
        <v>524</v>
      </c>
      <c r="E3" t="s">
        <v>535</v>
      </c>
      <c r="F3">
        <v>18</v>
      </c>
      <c r="G3">
        <v>15</v>
      </c>
      <c r="H3">
        <v>166</v>
      </c>
      <c r="I3">
        <v>2490</v>
      </c>
      <c r="J3">
        <v>0.22</v>
      </c>
      <c r="K3">
        <v>547.79999999999995</v>
      </c>
      <c r="L3">
        <v>3037.8</v>
      </c>
      <c r="M3" t="s">
        <v>542</v>
      </c>
      <c r="N3" t="s">
        <v>545</v>
      </c>
    </row>
    <row r="4" spans="1:14" x14ac:dyDescent="0.3">
      <c r="A4" t="s">
        <v>16</v>
      </c>
      <c r="B4" s="3">
        <v>45319</v>
      </c>
      <c r="C4" t="s">
        <v>516</v>
      </c>
      <c r="D4" t="s">
        <v>525</v>
      </c>
      <c r="E4" t="s">
        <v>536</v>
      </c>
      <c r="F4">
        <v>79</v>
      </c>
      <c r="G4">
        <v>72</v>
      </c>
      <c r="H4">
        <v>248</v>
      </c>
      <c r="I4">
        <v>17856</v>
      </c>
      <c r="J4">
        <v>0.22</v>
      </c>
      <c r="K4">
        <v>3928.32</v>
      </c>
      <c r="L4">
        <v>21784.32</v>
      </c>
      <c r="M4" t="s">
        <v>541</v>
      </c>
      <c r="N4" t="s">
        <v>546</v>
      </c>
    </row>
    <row r="5" spans="1:14" x14ac:dyDescent="0.3">
      <c r="A5" t="s">
        <v>17</v>
      </c>
      <c r="B5" s="3">
        <v>45517</v>
      </c>
      <c r="C5" t="s">
        <v>517</v>
      </c>
      <c r="D5" t="s">
        <v>526</v>
      </c>
      <c r="E5" t="s">
        <v>537</v>
      </c>
      <c r="F5">
        <v>22</v>
      </c>
      <c r="G5">
        <v>21</v>
      </c>
      <c r="H5">
        <v>162</v>
      </c>
      <c r="I5">
        <v>3402</v>
      </c>
      <c r="J5">
        <v>0</v>
      </c>
      <c r="K5">
        <v>0</v>
      </c>
      <c r="L5">
        <v>3402</v>
      </c>
      <c r="M5" t="s">
        <v>542</v>
      </c>
      <c r="N5" t="s">
        <v>547</v>
      </c>
    </row>
    <row r="6" spans="1:14" x14ac:dyDescent="0.3">
      <c r="A6" t="s">
        <v>18</v>
      </c>
      <c r="B6" s="3">
        <v>45724</v>
      </c>
      <c r="C6" t="s">
        <v>518</v>
      </c>
      <c r="D6" t="s">
        <v>523</v>
      </c>
      <c r="E6" t="s">
        <v>534</v>
      </c>
      <c r="F6">
        <v>65</v>
      </c>
      <c r="G6">
        <v>75</v>
      </c>
      <c r="H6">
        <v>262</v>
      </c>
      <c r="I6">
        <v>19650</v>
      </c>
      <c r="J6">
        <v>0.22</v>
      </c>
      <c r="K6">
        <v>4323</v>
      </c>
      <c r="L6">
        <v>23973</v>
      </c>
      <c r="M6" t="s">
        <v>543</v>
      </c>
      <c r="N6" t="s">
        <v>544</v>
      </c>
    </row>
    <row r="7" spans="1:14" x14ac:dyDescent="0.3">
      <c r="A7" t="s">
        <v>19</v>
      </c>
      <c r="B7" s="3">
        <v>45386</v>
      </c>
      <c r="C7" t="s">
        <v>515</v>
      </c>
      <c r="D7" t="s">
        <v>527</v>
      </c>
      <c r="E7" t="s">
        <v>537</v>
      </c>
      <c r="F7">
        <v>21</v>
      </c>
      <c r="G7">
        <v>24</v>
      </c>
      <c r="H7">
        <v>190</v>
      </c>
      <c r="I7">
        <v>4560</v>
      </c>
      <c r="J7">
        <v>0.22</v>
      </c>
      <c r="K7">
        <v>1003.2</v>
      </c>
      <c r="L7">
        <v>5563.2</v>
      </c>
      <c r="M7" t="s">
        <v>541</v>
      </c>
      <c r="N7" t="s">
        <v>548</v>
      </c>
    </row>
    <row r="8" spans="1:14" x14ac:dyDescent="0.3">
      <c r="A8" t="s">
        <v>20</v>
      </c>
      <c r="B8" s="3">
        <v>45336</v>
      </c>
      <c r="C8" t="s">
        <v>517</v>
      </c>
      <c r="D8" t="s">
        <v>528</v>
      </c>
      <c r="E8" t="s">
        <v>535</v>
      </c>
      <c r="F8">
        <v>18</v>
      </c>
      <c r="G8">
        <v>22</v>
      </c>
      <c r="H8">
        <v>112</v>
      </c>
      <c r="I8">
        <v>2464</v>
      </c>
      <c r="J8">
        <v>0.1</v>
      </c>
      <c r="K8">
        <v>246.4</v>
      </c>
      <c r="L8">
        <v>2710.4</v>
      </c>
      <c r="M8" t="s">
        <v>543</v>
      </c>
      <c r="N8" t="s">
        <v>544</v>
      </c>
    </row>
    <row r="9" spans="1:14" x14ac:dyDescent="0.3">
      <c r="A9" t="s">
        <v>21</v>
      </c>
      <c r="B9" s="3">
        <v>45592</v>
      </c>
      <c r="C9" t="s">
        <v>518</v>
      </c>
      <c r="D9" t="s">
        <v>526</v>
      </c>
      <c r="E9" t="s">
        <v>534</v>
      </c>
      <c r="F9">
        <v>2</v>
      </c>
      <c r="G9">
        <v>2</v>
      </c>
      <c r="H9">
        <v>147</v>
      </c>
      <c r="I9">
        <v>294</v>
      </c>
      <c r="J9">
        <v>0</v>
      </c>
      <c r="K9">
        <v>0</v>
      </c>
      <c r="L9">
        <v>294</v>
      </c>
      <c r="M9" t="s">
        <v>541</v>
      </c>
      <c r="N9" t="s">
        <v>544</v>
      </c>
    </row>
    <row r="10" spans="1:14" x14ac:dyDescent="0.3">
      <c r="A10" t="s">
        <v>22</v>
      </c>
      <c r="B10" s="3">
        <v>45338</v>
      </c>
      <c r="C10" t="s">
        <v>519</v>
      </c>
      <c r="D10" t="s">
        <v>523</v>
      </c>
      <c r="E10" t="s">
        <v>535</v>
      </c>
      <c r="F10">
        <v>31</v>
      </c>
      <c r="G10">
        <v>30</v>
      </c>
      <c r="H10">
        <v>97</v>
      </c>
      <c r="I10">
        <v>2910</v>
      </c>
      <c r="J10">
        <v>0.1</v>
      </c>
      <c r="K10">
        <v>291</v>
      </c>
      <c r="L10">
        <v>3201</v>
      </c>
      <c r="M10" t="s">
        <v>542</v>
      </c>
      <c r="N10" t="s">
        <v>546</v>
      </c>
    </row>
    <row r="11" spans="1:14" x14ac:dyDescent="0.3">
      <c r="A11" t="s">
        <v>23</v>
      </c>
      <c r="B11" s="3">
        <v>45576</v>
      </c>
      <c r="C11" t="s">
        <v>517</v>
      </c>
      <c r="D11" t="s">
        <v>529</v>
      </c>
      <c r="E11" t="s">
        <v>538</v>
      </c>
      <c r="F11">
        <v>2</v>
      </c>
      <c r="G11">
        <v>2</v>
      </c>
      <c r="H11">
        <v>251</v>
      </c>
      <c r="I11">
        <v>502</v>
      </c>
      <c r="J11">
        <v>0</v>
      </c>
      <c r="K11">
        <v>0</v>
      </c>
      <c r="L11">
        <v>502</v>
      </c>
      <c r="M11" t="s">
        <v>543</v>
      </c>
      <c r="N11" t="s">
        <v>547</v>
      </c>
    </row>
    <row r="12" spans="1:14" x14ac:dyDescent="0.3">
      <c r="A12" t="s">
        <v>24</v>
      </c>
      <c r="B12" s="3">
        <v>45671</v>
      </c>
      <c r="C12" t="s">
        <v>518</v>
      </c>
      <c r="D12" t="s">
        <v>525</v>
      </c>
      <c r="E12" t="s">
        <v>536</v>
      </c>
      <c r="F12">
        <v>48</v>
      </c>
      <c r="G12">
        <v>60</v>
      </c>
      <c r="H12">
        <v>80</v>
      </c>
      <c r="I12">
        <v>4800</v>
      </c>
      <c r="J12">
        <v>0.22</v>
      </c>
      <c r="K12">
        <v>1056</v>
      </c>
      <c r="L12">
        <v>5856</v>
      </c>
      <c r="M12" t="s">
        <v>541</v>
      </c>
      <c r="N12" t="s">
        <v>544</v>
      </c>
    </row>
    <row r="13" spans="1:14" x14ac:dyDescent="0.3">
      <c r="A13" t="s">
        <v>25</v>
      </c>
      <c r="B13" s="3">
        <v>45467</v>
      </c>
      <c r="C13" t="s">
        <v>516</v>
      </c>
      <c r="D13" t="s">
        <v>525</v>
      </c>
      <c r="E13" t="s">
        <v>534</v>
      </c>
      <c r="F13">
        <v>39</v>
      </c>
      <c r="G13">
        <v>33</v>
      </c>
      <c r="H13">
        <v>263</v>
      </c>
      <c r="I13">
        <v>8679</v>
      </c>
      <c r="J13">
        <v>0.22</v>
      </c>
      <c r="K13">
        <v>1909.38</v>
      </c>
      <c r="L13">
        <v>10588.38</v>
      </c>
      <c r="M13" t="s">
        <v>543</v>
      </c>
      <c r="N13" t="s">
        <v>545</v>
      </c>
    </row>
    <row r="14" spans="1:14" x14ac:dyDescent="0.3">
      <c r="A14" t="s">
        <v>26</v>
      </c>
      <c r="B14" s="3">
        <v>45516</v>
      </c>
      <c r="C14" t="s">
        <v>518</v>
      </c>
      <c r="D14" t="s">
        <v>524</v>
      </c>
      <c r="E14" t="s">
        <v>534</v>
      </c>
      <c r="F14">
        <v>66</v>
      </c>
      <c r="G14">
        <v>58</v>
      </c>
      <c r="H14">
        <v>81</v>
      </c>
      <c r="I14">
        <v>4698</v>
      </c>
      <c r="J14">
        <v>0.22</v>
      </c>
      <c r="K14">
        <v>1033.56</v>
      </c>
      <c r="L14">
        <v>5731.5599999999986</v>
      </c>
      <c r="M14" t="s">
        <v>543</v>
      </c>
      <c r="N14" t="s">
        <v>546</v>
      </c>
    </row>
    <row r="15" spans="1:14" x14ac:dyDescent="0.3">
      <c r="A15" t="s">
        <v>27</v>
      </c>
      <c r="B15" s="3">
        <v>45566</v>
      </c>
      <c r="C15" t="s">
        <v>520</v>
      </c>
      <c r="D15" t="s">
        <v>525</v>
      </c>
      <c r="E15" t="s">
        <v>539</v>
      </c>
      <c r="F15">
        <v>43</v>
      </c>
      <c r="G15">
        <v>49</v>
      </c>
      <c r="H15">
        <v>278</v>
      </c>
      <c r="I15">
        <v>13622</v>
      </c>
      <c r="J15">
        <v>0.1</v>
      </c>
      <c r="K15">
        <v>1362.2</v>
      </c>
      <c r="L15">
        <v>14984.2</v>
      </c>
      <c r="M15" t="s">
        <v>543</v>
      </c>
      <c r="N15" t="s">
        <v>549</v>
      </c>
    </row>
    <row r="16" spans="1:14" x14ac:dyDescent="0.3">
      <c r="A16" t="s">
        <v>28</v>
      </c>
      <c r="B16" s="3">
        <v>45803</v>
      </c>
      <c r="C16" t="s">
        <v>515</v>
      </c>
      <c r="D16" t="s">
        <v>529</v>
      </c>
      <c r="E16" t="s">
        <v>540</v>
      </c>
      <c r="F16">
        <v>51</v>
      </c>
      <c r="G16">
        <v>59</v>
      </c>
      <c r="H16">
        <v>229</v>
      </c>
      <c r="I16">
        <v>13511</v>
      </c>
      <c r="J16">
        <v>0</v>
      </c>
      <c r="K16">
        <v>0</v>
      </c>
      <c r="L16">
        <v>13511</v>
      </c>
      <c r="M16" t="s">
        <v>542</v>
      </c>
      <c r="N16" t="s">
        <v>548</v>
      </c>
    </row>
    <row r="17" spans="1:14" x14ac:dyDescent="0.3">
      <c r="A17" t="s">
        <v>29</v>
      </c>
      <c r="B17" s="3">
        <v>45434</v>
      </c>
      <c r="C17" t="s">
        <v>519</v>
      </c>
      <c r="D17" t="s">
        <v>528</v>
      </c>
      <c r="E17" t="s">
        <v>539</v>
      </c>
      <c r="F17">
        <v>52</v>
      </c>
      <c r="G17">
        <v>60</v>
      </c>
      <c r="H17">
        <v>267</v>
      </c>
      <c r="I17">
        <v>16020</v>
      </c>
      <c r="J17">
        <v>0.22</v>
      </c>
      <c r="K17">
        <v>3524.4</v>
      </c>
      <c r="L17">
        <v>19544.400000000001</v>
      </c>
      <c r="M17" t="s">
        <v>541</v>
      </c>
      <c r="N17" t="s">
        <v>546</v>
      </c>
    </row>
    <row r="18" spans="1:14" x14ac:dyDescent="0.3">
      <c r="A18" t="s">
        <v>30</v>
      </c>
      <c r="B18" s="3">
        <v>45700</v>
      </c>
      <c r="C18" t="s">
        <v>518</v>
      </c>
      <c r="D18" t="s">
        <v>525</v>
      </c>
      <c r="E18" t="s">
        <v>534</v>
      </c>
      <c r="F18">
        <v>14</v>
      </c>
      <c r="G18">
        <v>15</v>
      </c>
      <c r="H18">
        <v>249</v>
      </c>
      <c r="I18">
        <v>3735</v>
      </c>
      <c r="J18">
        <v>0.22</v>
      </c>
      <c r="K18">
        <v>821.7</v>
      </c>
      <c r="L18">
        <v>4556.7</v>
      </c>
      <c r="M18" t="s">
        <v>542</v>
      </c>
      <c r="N18" t="s">
        <v>550</v>
      </c>
    </row>
    <row r="19" spans="1:14" x14ac:dyDescent="0.3">
      <c r="A19" t="s">
        <v>31</v>
      </c>
      <c r="B19" s="3">
        <v>45404</v>
      </c>
      <c r="C19" t="s">
        <v>521</v>
      </c>
      <c r="D19" t="s">
        <v>529</v>
      </c>
      <c r="E19" t="s">
        <v>534</v>
      </c>
      <c r="F19">
        <v>63</v>
      </c>
      <c r="G19">
        <v>62</v>
      </c>
      <c r="H19">
        <v>234</v>
      </c>
      <c r="I19">
        <v>14508</v>
      </c>
      <c r="J19">
        <v>0</v>
      </c>
      <c r="K19">
        <v>0</v>
      </c>
      <c r="L19">
        <v>14508</v>
      </c>
      <c r="M19" t="s">
        <v>541</v>
      </c>
      <c r="N19" t="s">
        <v>546</v>
      </c>
    </row>
    <row r="20" spans="1:14" x14ac:dyDescent="0.3">
      <c r="A20" t="s">
        <v>32</v>
      </c>
      <c r="B20" s="3">
        <v>45357</v>
      </c>
      <c r="C20" t="s">
        <v>515</v>
      </c>
      <c r="D20" t="s">
        <v>530</v>
      </c>
      <c r="E20" t="s">
        <v>539</v>
      </c>
      <c r="F20">
        <v>60</v>
      </c>
      <c r="G20">
        <v>62</v>
      </c>
      <c r="H20">
        <v>110</v>
      </c>
      <c r="I20">
        <v>6820</v>
      </c>
      <c r="J20">
        <v>0.1</v>
      </c>
      <c r="K20">
        <v>682</v>
      </c>
      <c r="L20">
        <v>7502</v>
      </c>
      <c r="M20" t="s">
        <v>541</v>
      </c>
      <c r="N20" t="s">
        <v>548</v>
      </c>
    </row>
    <row r="21" spans="1:14" x14ac:dyDescent="0.3">
      <c r="A21" t="s">
        <v>33</v>
      </c>
      <c r="B21" s="3">
        <v>45303</v>
      </c>
      <c r="C21" t="s">
        <v>520</v>
      </c>
      <c r="D21" t="s">
        <v>529</v>
      </c>
      <c r="E21" t="s">
        <v>539</v>
      </c>
      <c r="F21">
        <v>50</v>
      </c>
      <c r="G21">
        <v>55</v>
      </c>
      <c r="H21">
        <v>123</v>
      </c>
      <c r="I21">
        <v>6765</v>
      </c>
      <c r="J21">
        <v>0</v>
      </c>
      <c r="K21">
        <v>0</v>
      </c>
      <c r="L21">
        <v>6765</v>
      </c>
      <c r="M21" t="s">
        <v>543</v>
      </c>
      <c r="N21" t="s">
        <v>551</v>
      </c>
    </row>
    <row r="22" spans="1:14" x14ac:dyDescent="0.3">
      <c r="A22" t="s">
        <v>34</v>
      </c>
      <c r="B22" s="3">
        <v>45406</v>
      </c>
      <c r="C22" t="s">
        <v>522</v>
      </c>
      <c r="D22" t="s">
        <v>530</v>
      </c>
      <c r="E22" t="s">
        <v>534</v>
      </c>
      <c r="F22">
        <v>3</v>
      </c>
      <c r="G22">
        <v>3</v>
      </c>
      <c r="H22">
        <v>288</v>
      </c>
      <c r="I22">
        <v>864</v>
      </c>
      <c r="J22">
        <v>0.22</v>
      </c>
      <c r="K22">
        <v>190.08</v>
      </c>
      <c r="L22">
        <v>1054.08</v>
      </c>
      <c r="M22" t="s">
        <v>541</v>
      </c>
      <c r="N22" t="s">
        <v>548</v>
      </c>
    </row>
    <row r="23" spans="1:14" x14ac:dyDescent="0.3">
      <c r="A23" t="s">
        <v>35</v>
      </c>
      <c r="B23" s="3">
        <v>45804</v>
      </c>
      <c r="C23" t="s">
        <v>521</v>
      </c>
      <c r="D23" t="s">
        <v>528</v>
      </c>
      <c r="E23" t="s">
        <v>535</v>
      </c>
      <c r="F23">
        <v>44</v>
      </c>
      <c r="G23">
        <v>51</v>
      </c>
      <c r="H23">
        <v>194</v>
      </c>
      <c r="I23">
        <v>9894</v>
      </c>
      <c r="J23">
        <v>0.1</v>
      </c>
      <c r="K23">
        <v>989.4</v>
      </c>
      <c r="L23">
        <v>10883.4</v>
      </c>
      <c r="M23" t="s">
        <v>543</v>
      </c>
      <c r="N23" t="s">
        <v>545</v>
      </c>
    </row>
    <row r="24" spans="1:14" x14ac:dyDescent="0.3">
      <c r="A24" t="s">
        <v>36</v>
      </c>
      <c r="B24" s="3">
        <v>45495</v>
      </c>
      <c r="C24" t="s">
        <v>521</v>
      </c>
      <c r="D24" t="s">
        <v>531</v>
      </c>
      <c r="E24" t="s">
        <v>538</v>
      </c>
      <c r="F24">
        <v>19</v>
      </c>
      <c r="G24">
        <v>21</v>
      </c>
      <c r="H24">
        <v>132</v>
      </c>
      <c r="I24">
        <v>2772</v>
      </c>
      <c r="J24">
        <v>0.22</v>
      </c>
      <c r="K24">
        <v>609.84</v>
      </c>
      <c r="L24">
        <v>3381.84</v>
      </c>
      <c r="M24" t="s">
        <v>541</v>
      </c>
      <c r="N24" t="s">
        <v>550</v>
      </c>
    </row>
    <row r="25" spans="1:14" x14ac:dyDescent="0.3">
      <c r="A25" t="s">
        <v>37</v>
      </c>
      <c r="B25" s="3">
        <v>45623</v>
      </c>
      <c r="C25" t="s">
        <v>517</v>
      </c>
      <c r="D25" t="s">
        <v>524</v>
      </c>
      <c r="E25" t="s">
        <v>535</v>
      </c>
      <c r="F25">
        <v>37</v>
      </c>
      <c r="G25">
        <v>39</v>
      </c>
      <c r="H25">
        <v>77</v>
      </c>
      <c r="I25">
        <v>3003</v>
      </c>
      <c r="J25">
        <v>0.1</v>
      </c>
      <c r="K25">
        <v>300.3</v>
      </c>
      <c r="L25">
        <v>3303.3</v>
      </c>
      <c r="M25" t="s">
        <v>543</v>
      </c>
      <c r="N25" t="s">
        <v>549</v>
      </c>
    </row>
    <row r="26" spans="1:14" x14ac:dyDescent="0.3">
      <c r="A26" t="s">
        <v>38</v>
      </c>
      <c r="B26" s="3">
        <v>45351</v>
      </c>
      <c r="C26" t="s">
        <v>519</v>
      </c>
      <c r="D26" t="s">
        <v>526</v>
      </c>
      <c r="E26" t="s">
        <v>535</v>
      </c>
      <c r="F26">
        <v>4</v>
      </c>
      <c r="G26">
        <v>4</v>
      </c>
      <c r="H26">
        <v>148</v>
      </c>
      <c r="I26">
        <v>592</v>
      </c>
      <c r="J26">
        <v>0</v>
      </c>
      <c r="K26">
        <v>0</v>
      </c>
      <c r="L26">
        <v>592</v>
      </c>
      <c r="M26" t="s">
        <v>542</v>
      </c>
      <c r="N26" t="s">
        <v>552</v>
      </c>
    </row>
    <row r="27" spans="1:14" x14ac:dyDescent="0.3">
      <c r="A27" t="s">
        <v>39</v>
      </c>
      <c r="B27" s="3">
        <v>45362</v>
      </c>
      <c r="C27" t="s">
        <v>516</v>
      </c>
      <c r="D27" t="s">
        <v>532</v>
      </c>
      <c r="E27" t="s">
        <v>534</v>
      </c>
      <c r="F27">
        <v>67</v>
      </c>
      <c r="G27">
        <v>60</v>
      </c>
      <c r="H27">
        <v>73</v>
      </c>
      <c r="I27">
        <v>4380</v>
      </c>
      <c r="J27">
        <v>0.22</v>
      </c>
      <c r="K27">
        <v>963.6</v>
      </c>
      <c r="L27">
        <v>5343.6</v>
      </c>
      <c r="M27" t="s">
        <v>541</v>
      </c>
      <c r="N27" t="s">
        <v>547</v>
      </c>
    </row>
    <row r="28" spans="1:14" x14ac:dyDescent="0.3">
      <c r="A28" t="s">
        <v>40</v>
      </c>
      <c r="B28" s="3">
        <v>45563</v>
      </c>
      <c r="C28" t="s">
        <v>516</v>
      </c>
      <c r="D28" t="s">
        <v>526</v>
      </c>
      <c r="E28" t="s">
        <v>540</v>
      </c>
      <c r="F28">
        <v>8</v>
      </c>
      <c r="G28">
        <v>9</v>
      </c>
      <c r="H28">
        <v>149</v>
      </c>
      <c r="I28">
        <v>1341</v>
      </c>
      <c r="J28">
        <v>0</v>
      </c>
      <c r="K28">
        <v>0</v>
      </c>
      <c r="L28">
        <v>1341</v>
      </c>
      <c r="M28" t="s">
        <v>542</v>
      </c>
      <c r="N28" t="s">
        <v>545</v>
      </c>
    </row>
    <row r="29" spans="1:14" x14ac:dyDescent="0.3">
      <c r="A29" t="s">
        <v>41</v>
      </c>
      <c r="B29" s="3">
        <v>45497</v>
      </c>
      <c r="C29" t="s">
        <v>522</v>
      </c>
      <c r="D29" t="s">
        <v>530</v>
      </c>
      <c r="E29" t="s">
        <v>536</v>
      </c>
      <c r="F29">
        <v>53</v>
      </c>
      <c r="G29">
        <v>53</v>
      </c>
      <c r="H29">
        <v>189</v>
      </c>
      <c r="I29">
        <v>10017</v>
      </c>
      <c r="J29">
        <v>0.22</v>
      </c>
      <c r="K29">
        <v>2203.7399999999998</v>
      </c>
      <c r="L29">
        <v>12220.74</v>
      </c>
      <c r="M29" t="s">
        <v>543</v>
      </c>
      <c r="N29" t="s">
        <v>545</v>
      </c>
    </row>
    <row r="30" spans="1:14" x14ac:dyDescent="0.3">
      <c r="A30" t="s">
        <v>42</v>
      </c>
      <c r="B30" s="3">
        <v>45754</v>
      </c>
      <c r="C30" t="s">
        <v>520</v>
      </c>
      <c r="D30" t="s">
        <v>525</v>
      </c>
      <c r="E30" t="s">
        <v>534</v>
      </c>
      <c r="F30">
        <v>62</v>
      </c>
      <c r="G30">
        <v>60</v>
      </c>
      <c r="H30">
        <v>258</v>
      </c>
      <c r="I30">
        <v>15480</v>
      </c>
      <c r="J30">
        <v>0.22</v>
      </c>
      <c r="K30">
        <v>3405.6</v>
      </c>
      <c r="L30">
        <v>18885.599999999999</v>
      </c>
      <c r="M30" t="s">
        <v>542</v>
      </c>
      <c r="N30" t="s">
        <v>553</v>
      </c>
    </row>
    <row r="31" spans="1:14" x14ac:dyDescent="0.3">
      <c r="A31" t="s">
        <v>43</v>
      </c>
      <c r="B31" s="3">
        <v>45527</v>
      </c>
      <c r="C31" t="s">
        <v>519</v>
      </c>
      <c r="D31" t="s">
        <v>524</v>
      </c>
      <c r="E31" t="s">
        <v>535</v>
      </c>
      <c r="F31">
        <v>36</v>
      </c>
      <c r="G31">
        <v>44</v>
      </c>
      <c r="H31">
        <v>67</v>
      </c>
      <c r="I31">
        <v>2948</v>
      </c>
      <c r="J31">
        <v>0.22</v>
      </c>
      <c r="K31">
        <v>648.55999999999995</v>
      </c>
      <c r="L31">
        <v>3596.56</v>
      </c>
      <c r="M31" t="s">
        <v>542</v>
      </c>
      <c r="N31" t="s">
        <v>549</v>
      </c>
    </row>
    <row r="32" spans="1:14" x14ac:dyDescent="0.3">
      <c r="A32" t="s">
        <v>44</v>
      </c>
      <c r="B32" s="3">
        <v>45361</v>
      </c>
      <c r="C32" t="s">
        <v>514</v>
      </c>
      <c r="D32" t="s">
        <v>531</v>
      </c>
      <c r="E32" t="s">
        <v>535</v>
      </c>
      <c r="F32">
        <v>49</v>
      </c>
      <c r="G32">
        <v>47</v>
      </c>
      <c r="H32">
        <v>94</v>
      </c>
      <c r="I32">
        <v>4418</v>
      </c>
      <c r="J32">
        <v>0.22</v>
      </c>
      <c r="K32">
        <v>971.96</v>
      </c>
      <c r="L32">
        <v>5389.96</v>
      </c>
      <c r="M32" t="s">
        <v>543</v>
      </c>
      <c r="N32" t="s">
        <v>552</v>
      </c>
    </row>
    <row r="33" spans="1:14" x14ac:dyDescent="0.3">
      <c r="A33" t="s">
        <v>45</v>
      </c>
      <c r="B33" s="3">
        <v>45511</v>
      </c>
      <c r="C33" t="s">
        <v>516</v>
      </c>
      <c r="D33" t="s">
        <v>532</v>
      </c>
      <c r="E33" t="s">
        <v>536</v>
      </c>
      <c r="F33">
        <v>68</v>
      </c>
      <c r="G33">
        <v>78</v>
      </c>
      <c r="H33">
        <v>140</v>
      </c>
      <c r="I33">
        <v>10920</v>
      </c>
      <c r="J33">
        <v>0.1</v>
      </c>
      <c r="K33">
        <v>1092</v>
      </c>
      <c r="L33">
        <v>12012</v>
      </c>
      <c r="M33" t="s">
        <v>541</v>
      </c>
      <c r="N33" t="s">
        <v>553</v>
      </c>
    </row>
    <row r="34" spans="1:14" x14ac:dyDescent="0.3">
      <c r="A34" t="s">
        <v>46</v>
      </c>
      <c r="B34" s="3">
        <v>45776</v>
      </c>
      <c r="C34" t="s">
        <v>519</v>
      </c>
      <c r="D34" t="s">
        <v>533</v>
      </c>
      <c r="E34" t="s">
        <v>538</v>
      </c>
      <c r="F34">
        <v>30</v>
      </c>
      <c r="G34">
        <v>36</v>
      </c>
      <c r="H34">
        <v>109</v>
      </c>
      <c r="I34">
        <v>3924</v>
      </c>
      <c r="J34">
        <v>0.22</v>
      </c>
      <c r="K34">
        <v>863.28</v>
      </c>
      <c r="L34">
        <v>4787.28</v>
      </c>
      <c r="M34" t="s">
        <v>542</v>
      </c>
      <c r="N34" t="s">
        <v>544</v>
      </c>
    </row>
    <row r="35" spans="1:14" x14ac:dyDescent="0.3">
      <c r="A35" t="s">
        <v>47</v>
      </c>
      <c r="B35" s="3">
        <v>45733</v>
      </c>
      <c r="C35" t="s">
        <v>518</v>
      </c>
      <c r="D35" t="s">
        <v>530</v>
      </c>
      <c r="E35" t="s">
        <v>540</v>
      </c>
      <c r="F35">
        <v>5</v>
      </c>
      <c r="G35">
        <v>4</v>
      </c>
      <c r="H35">
        <v>61</v>
      </c>
      <c r="I35">
        <v>244</v>
      </c>
      <c r="J35">
        <v>0.22</v>
      </c>
      <c r="K35">
        <v>53.68</v>
      </c>
      <c r="L35">
        <v>297.68</v>
      </c>
      <c r="M35" t="s">
        <v>541</v>
      </c>
      <c r="N35" t="s">
        <v>550</v>
      </c>
    </row>
    <row r="36" spans="1:14" x14ac:dyDescent="0.3">
      <c r="A36" t="s">
        <v>48</v>
      </c>
      <c r="B36" s="3">
        <v>45392</v>
      </c>
      <c r="C36" t="s">
        <v>514</v>
      </c>
      <c r="D36" t="s">
        <v>530</v>
      </c>
      <c r="E36" t="s">
        <v>536</v>
      </c>
      <c r="F36">
        <v>7</v>
      </c>
      <c r="G36">
        <v>6</v>
      </c>
      <c r="H36">
        <v>113</v>
      </c>
      <c r="I36">
        <v>678</v>
      </c>
      <c r="J36">
        <v>0.22</v>
      </c>
      <c r="K36">
        <v>149.16</v>
      </c>
      <c r="L36">
        <v>827.16</v>
      </c>
      <c r="M36" t="s">
        <v>542</v>
      </c>
      <c r="N36" t="s">
        <v>549</v>
      </c>
    </row>
    <row r="37" spans="1:14" x14ac:dyDescent="0.3">
      <c r="A37" t="s">
        <v>49</v>
      </c>
      <c r="B37" s="3">
        <v>45488</v>
      </c>
      <c r="C37" t="s">
        <v>519</v>
      </c>
      <c r="D37" t="s">
        <v>528</v>
      </c>
      <c r="E37" t="s">
        <v>540</v>
      </c>
      <c r="F37">
        <v>4</v>
      </c>
      <c r="G37">
        <v>4</v>
      </c>
      <c r="H37">
        <v>113</v>
      </c>
      <c r="I37">
        <v>452</v>
      </c>
      <c r="J37">
        <v>0.22</v>
      </c>
      <c r="K37">
        <v>99.44</v>
      </c>
      <c r="L37">
        <v>551.44000000000005</v>
      </c>
      <c r="M37" t="s">
        <v>542</v>
      </c>
      <c r="N37" t="s">
        <v>548</v>
      </c>
    </row>
    <row r="38" spans="1:14" x14ac:dyDescent="0.3">
      <c r="A38" t="s">
        <v>50</v>
      </c>
      <c r="B38" s="3">
        <v>45765</v>
      </c>
      <c r="C38" t="s">
        <v>519</v>
      </c>
      <c r="D38" t="s">
        <v>527</v>
      </c>
      <c r="E38" t="s">
        <v>540</v>
      </c>
      <c r="F38">
        <v>58</v>
      </c>
      <c r="G38">
        <v>63</v>
      </c>
      <c r="H38">
        <v>205</v>
      </c>
      <c r="I38">
        <v>12915</v>
      </c>
      <c r="J38">
        <v>0.22</v>
      </c>
      <c r="K38">
        <v>2841.3</v>
      </c>
      <c r="L38">
        <v>15756.3</v>
      </c>
      <c r="M38" t="s">
        <v>541</v>
      </c>
      <c r="N38" t="s">
        <v>544</v>
      </c>
    </row>
    <row r="39" spans="1:14" x14ac:dyDescent="0.3">
      <c r="A39" t="s">
        <v>51</v>
      </c>
      <c r="B39" s="3">
        <v>45343</v>
      </c>
      <c r="C39" t="s">
        <v>516</v>
      </c>
      <c r="D39" t="s">
        <v>524</v>
      </c>
      <c r="E39" t="s">
        <v>535</v>
      </c>
      <c r="F39">
        <v>37</v>
      </c>
      <c r="G39">
        <v>44</v>
      </c>
      <c r="H39">
        <v>221</v>
      </c>
      <c r="I39">
        <v>9724</v>
      </c>
      <c r="J39">
        <v>0.1</v>
      </c>
      <c r="K39">
        <v>972.4</v>
      </c>
      <c r="L39">
        <v>10696.4</v>
      </c>
      <c r="M39" t="s">
        <v>542</v>
      </c>
      <c r="N39" t="s">
        <v>547</v>
      </c>
    </row>
    <row r="40" spans="1:14" x14ac:dyDescent="0.3">
      <c r="A40" t="s">
        <v>52</v>
      </c>
      <c r="B40" s="3">
        <v>45708</v>
      </c>
      <c r="C40" t="s">
        <v>517</v>
      </c>
      <c r="D40" t="s">
        <v>533</v>
      </c>
      <c r="E40" t="s">
        <v>534</v>
      </c>
      <c r="F40">
        <v>79</v>
      </c>
      <c r="G40">
        <v>74</v>
      </c>
      <c r="H40">
        <v>249</v>
      </c>
      <c r="I40">
        <v>18426</v>
      </c>
      <c r="J40">
        <v>0.1</v>
      </c>
      <c r="K40">
        <v>1842.6</v>
      </c>
      <c r="L40">
        <v>20268.599999999999</v>
      </c>
      <c r="M40" t="s">
        <v>542</v>
      </c>
      <c r="N40" t="s">
        <v>547</v>
      </c>
    </row>
    <row r="41" spans="1:14" x14ac:dyDescent="0.3">
      <c r="A41" t="s">
        <v>53</v>
      </c>
      <c r="B41" s="3">
        <v>45680</v>
      </c>
      <c r="C41" t="s">
        <v>514</v>
      </c>
      <c r="D41" t="s">
        <v>530</v>
      </c>
      <c r="E41" t="s">
        <v>537</v>
      </c>
      <c r="F41">
        <v>14</v>
      </c>
      <c r="G41">
        <v>14</v>
      </c>
      <c r="H41">
        <v>154</v>
      </c>
      <c r="I41">
        <v>2156</v>
      </c>
      <c r="J41">
        <v>0.1</v>
      </c>
      <c r="K41">
        <v>215.6</v>
      </c>
      <c r="L41">
        <v>2371.6</v>
      </c>
      <c r="M41" t="s">
        <v>543</v>
      </c>
      <c r="N41" t="s">
        <v>548</v>
      </c>
    </row>
    <row r="42" spans="1:14" x14ac:dyDescent="0.3">
      <c r="A42" t="s">
        <v>54</v>
      </c>
      <c r="B42" s="3">
        <v>45725</v>
      </c>
      <c r="C42" t="s">
        <v>516</v>
      </c>
      <c r="D42" t="s">
        <v>529</v>
      </c>
      <c r="E42" t="s">
        <v>536</v>
      </c>
      <c r="F42">
        <v>41</v>
      </c>
      <c r="G42">
        <v>48</v>
      </c>
      <c r="H42">
        <v>74</v>
      </c>
      <c r="I42">
        <v>3552</v>
      </c>
      <c r="J42">
        <v>0</v>
      </c>
      <c r="K42">
        <v>0</v>
      </c>
      <c r="L42">
        <v>3552</v>
      </c>
      <c r="M42" t="s">
        <v>543</v>
      </c>
      <c r="N42" t="s">
        <v>547</v>
      </c>
    </row>
    <row r="43" spans="1:14" x14ac:dyDescent="0.3">
      <c r="A43" t="s">
        <v>55</v>
      </c>
      <c r="B43" s="3">
        <v>45486</v>
      </c>
      <c r="C43" t="s">
        <v>522</v>
      </c>
      <c r="D43" t="s">
        <v>525</v>
      </c>
      <c r="E43" t="s">
        <v>535</v>
      </c>
      <c r="F43">
        <v>72</v>
      </c>
      <c r="G43">
        <v>72</v>
      </c>
      <c r="H43">
        <v>265</v>
      </c>
      <c r="I43">
        <v>19080</v>
      </c>
      <c r="J43">
        <v>0.22</v>
      </c>
      <c r="K43">
        <v>4197.6000000000004</v>
      </c>
      <c r="L43">
        <v>23277.599999999999</v>
      </c>
      <c r="M43" t="s">
        <v>541</v>
      </c>
      <c r="N43" t="s">
        <v>550</v>
      </c>
    </row>
    <row r="44" spans="1:14" x14ac:dyDescent="0.3">
      <c r="A44" t="s">
        <v>56</v>
      </c>
      <c r="B44" s="3">
        <v>45613</v>
      </c>
      <c r="C44" t="s">
        <v>514</v>
      </c>
      <c r="D44" t="s">
        <v>524</v>
      </c>
      <c r="E44" t="s">
        <v>539</v>
      </c>
      <c r="F44">
        <v>50</v>
      </c>
      <c r="G44">
        <v>62</v>
      </c>
      <c r="H44">
        <v>99</v>
      </c>
      <c r="I44">
        <v>6138</v>
      </c>
      <c r="J44">
        <v>0.22</v>
      </c>
      <c r="K44">
        <v>1350.36</v>
      </c>
      <c r="L44">
        <v>7488.36</v>
      </c>
      <c r="M44" t="s">
        <v>541</v>
      </c>
      <c r="N44" t="s">
        <v>547</v>
      </c>
    </row>
    <row r="45" spans="1:14" x14ac:dyDescent="0.3">
      <c r="A45" t="s">
        <v>57</v>
      </c>
      <c r="B45" s="3">
        <v>45350</v>
      </c>
      <c r="C45" t="s">
        <v>516</v>
      </c>
      <c r="D45" t="s">
        <v>527</v>
      </c>
      <c r="E45" t="s">
        <v>538</v>
      </c>
      <c r="F45">
        <v>93</v>
      </c>
      <c r="G45">
        <v>80</v>
      </c>
      <c r="H45">
        <v>296</v>
      </c>
      <c r="I45">
        <v>23680</v>
      </c>
      <c r="J45">
        <v>0.22</v>
      </c>
      <c r="K45">
        <v>5209.6000000000004</v>
      </c>
      <c r="L45">
        <v>28889.599999999999</v>
      </c>
      <c r="M45" t="s">
        <v>541</v>
      </c>
      <c r="N45" t="s">
        <v>544</v>
      </c>
    </row>
    <row r="46" spans="1:14" x14ac:dyDescent="0.3">
      <c r="A46" t="s">
        <v>58</v>
      </c>
      <c r="B46" s="3">
        <v>45532</v>
      </c>
      <c r="C46" t="s">
        <v>515</v>
      </c>
      <c r="D46" t="s">
        <v>527</v>
      </c>
      <c r="E46" t="s">
        <v>539</v>
      </c>
      <c r="F46">
        <v>48</v>
      </c>
      <c r="G46">
        <v>53</v>
      </c>
      <c r="H46">
        <v>83</v>
      </c>
      <c r="I46">
        <v>4399</v>
      </c>
      <c r="J46">
        <v>0.22</v>
      </c>
      <c r="K46">
        <v>967.78</v>
      </c>
      <c r="L46">
        <v>5366.78</v>
      </c>
      <c r="M46" t="s">
        <v>541</v>
      </c>
      <c r="N46" t="s">
        <v>550</v>
      </c>
    </row>
    <row r="47" spans="1:14" x14ac:dyDescent="0.3">
      <c r="A47" t="s">
        <v>59</v>
      </c>
      <c r="B47" s="3">
        <v>45375</v>
      </c>
      <c r="C47" t="s">
        <v>515</v>
      </c>
      <c r="D47" t="s">
        <v>529</v>
      </c>
      <c r="E47" t="s">
        <v>539</v>
      </c>
      <c r="F47">
        <v>28</v>
      </c>
      <c r="G47">
        <v>26</v>
      </c>
      <c r="H47">
        <v>276</v>
      </c>
      <c r="I47">
        <v>7176</v>
      </c>
      <c r="J47">
        <v>0</v>
      </c>
      <c r="K47">
        <v>0</v>
      </c>
      <c r="L47">
        <v>7176</v>
      </c>
      <c r="M47" t="s">
        <v>541</v>
      </c>
      <c r="N47" t="s">
        <v>545</v>
      </c>
    </row>
    <row r="48" spans="1:14" x14ac:dyDescent="0.3">
      <c r="A48" t="s">
        <v>60</v>
      </c>
      <c r="B48" s="3">
        <v>45615</v>
      </c>
      <c r="C48" t="s">
        <v>522</v>
      </c>
      <c r="D48" t="s">
        <v>525</v>
      </c>
      <c r="E48" t="s">
        <v>536</v>
      </c>
      <c r="F48">
        <v>55</v>
      </c>
      <c r="G48">
        <v>60</v>
      </c>
      <c r="H48">
        <v>183</v>
      </c>
      <c r="I48">
        <v>10980</v>
      </c>
      <c r="J48">
        <v>0.22</v>
      </c>
      <c r="K48">
        <v>2415.6</v>
      </c>
      <c r="L48">
        <v>13395.6</v>
      </c>
      <c r="M48" t="s">
        <v>542</v>
      </c>
      <c r="N48" t="s">
        <v>548</v>
      </c>
    </row>
    <row r="49" spans="1:14" x14ac:dyDescent="0.3">
      <c r="A49" t="s">
        <v>61</v>
      </c>
      <c r="B49" s="3">
        <v>45697</v>
      </c>
      <c r="C49" t="s">
        <v>521</v>
      </c>
      <c r="D49" t="s">
        <v>529</v>
      </c>
      <c r="E49" t="s">
        <v>536</v>
      </c>
      <c r="F49">
        <v>41</v>
      </c>
      <c r="G49">
        <v>41</v>
      </c>
      <c r="H49">
        <v>216</v>
      </c>
      <c r="I49">
        <v>8856</v>
      </c>
      <c r="J49">
        <v>0</v>
      </c>
      <c r="K49">
        <v>0</v>
      </c>
      <c r="L49">
        <v>8856</v>
      </c>
      <c r="M49" t="s">
        <v>543</v>
      </c>
      <c r="N49" t="s">
        <v>552</v>
      </c>
    </row>
    <row r="50" spans="1:14" x14ac:dyDescent="0.3">
      <c r="A50" t="s">
        <v>62</v>
      </c>
      <c r="B50" s="3">
        <v>45615</v>
      </c>
      <c r="C50" t="s">
        <v>520</v>
      </c>
      <c r="D50" t="s">
        <v>524</v>
      </c>
      <c r="E50" t="s">
        <v>540</v>
      </c>
      <c r="F50">
        <v>15</v>
      </c>
      <c r="G50">
        <v>15</v>
      </c>
      <c r="H50">
        <v>104</v>
      </c>
      <c r="I50">
        <v>1560</v>
      </c>
      <c r="J50">
        <v>0.22</v>
      </c>
      <c r="K50">
        <v>343.2</v>
      </c>
      <c r="L50">
        <v>1903.2</v>
      </c>
      <c r="M50" t="s">
        <v>541</v>
      </c>
      <c r="N50" t="s">
        <v>544</v>
      </c>
    </row>
    <row r="51" spans="1:14" x14ac:dyDescent="0.3">
      <c r="A51" t="s">
        <v>63</v>
      </c>
      <c r="B51" s="3">
        <v>45367</v>
      </c>
      <c r="C51" t="s">
        <v>516</v>
      </c>
      <c r="D51" t="s">
        <v>525</v>
      </c>
      <c r="E51" t="s">
        <v>539</v>
      </c>
      <c r="F51">
        <v>57</v>
      </c>
      <c r="G51">
        <v>65</v>
      </c>
      <c r="H51">
        <v>148</v>
      </c>
      <c r="I51">
        <v>9620</v>
      </c>
      <c r="J51">
        <v>0.22</v>
      </c>
      <c r="K51">
        <v>2116.4</v>
      </c>
      <c r="L51">
        <v>11736.4</v>
      </c>
      <c r="M51" t="s">
        <v>543</v>
      </c>
      <c r="N51" t="s">
        <v>544</v>
      </c>
    </row>
    <row r="52" spans="1:14" x14ac:dyDescent="0.3">
      <c r="A52" t="s">
        <v>64</v>
      </c>
      <c r="B52" s="3">
        <v>45542</v>
      </c>
      <c r="C52" t="s">
        <v>518</v>
      </c>
      <c r="D52" t="s">
        <v>523</v>
      </c>
      <c r="E52" t="s">
        <v>534</v>
      </c>
      <c r="F52">
        <v>84</v>
      </c>
      <c r="G52">
        <v>71</v>
      </c>
      <c r="H52">
        <v>68</v>
      </c>
      <c r="I52">
        <v>4828</v>
      </c>
      <c r="J52">
        <v>0.22</v>
      </c>
      <c r="K52">
        <v>1062.1600000000001</v>
      </c>
      <c r="L52">
        <v>5890.16</v>
      </c>
      <c r="M52" t="s">
        <v>541</v>
      </c>
      <c r="N52" t="s">
        <v>548</v>
      </c>
    </row>
    <row r="53" spans="1:14" x14ac:dyDescent="0.3">
      <c r="A53" t="s">
        <v>65</v>
      </c>
      <c r="B53" s="3">
        <v>45833</v>
      </c>
      <c r="C53" t="s">
        <v>514</v>
      </c>
      <c r="D53" t="s">
        <v>529</v>
      </c>
      <c r="E53" t="s">
        <v>538</v>
      </c>
      <c r="F53">
        <v>1</v>
      </c>
      <c r="G53">
        <v>1</v>
      </c>
      <c r="H53">
        <v>295</v>
      </c>
      <c r="I53">
        <v>295</v>
      </c>
      <c r="J53">
        <v>0</v>
      </c>
      <c r="K53">
        <v>0</v>
      </c>
      <c r="L53">
        <v>295</v>
      </c>
      <c r="M53" t="s">
        <v>541</v>
      </c>
      <c r="N53" t="s">
        <v>548</v>
      </c>
    </row>
    <row r="54" spans="1:14" x14ac:dyDescent="0.3">
      <c r="A54" t="s">
        <v>66</v>
      </c>
      <c r="B54" s="3">
        <v>45398</v>
      </c>
      <c r="C54" t="s">
        <v>521</v>
      </c>
      <c r="D54" t="s">
        <v>523</v>
      </c>
      <c r="E54" t="s">
        <v>535</v>
      </c>
      <c r="F54">
        <v>9</v>
      </c>
      <c r="G54">
        <v>8</v>
      </c>
      <c r="H54">
        <v>275</v>
      </c>
      <c r="I54">
        <v>2200</v>
      </c>
      <c r="J54">
        <v>0.1</v>
      </c>
      <c r="K54">
        <v>220</v>
      </c>
      <c r="L54">
        <v>2420</v>
      </c>
      <c r="M54" t="s">
        <v>541</v>
      </c>
      <c r="N54" t="s">
        <v>545</v>
      </c>
    </row>
    <row r="55" spans="1:14" x14ac:dyDescent="0.3">
      <c r="A55" t="s">
        <v>67</v>
      </c>
      <c r="B55" s="3">
        <v>45451</v>
      </c>
      <c r="C55" t="s">
        <v>522</v>
      </c>
      <c r="D55" t="s">
        <v>523</v>
      </c>
      <c r="E55" t="s">
        <v>539</v>
      </c>
      <c r="F55">
        <v>73</v>
      </c>
      <c r="G55">
        <v>63</v>
      </c>
      <c r="H55">
        <v>198</v>
      </c>
      <c r="I55">
        <v>12474</v>
      </c>
      <c r="J55">
        <v>0.22</v>
      </c>
      <c r="K55">
        <v>2744.28</v>
      </c>
      <c r="L55">
        <v>15218.28</v>
      </c>
      <c r="M55" t="s">
        <v>543</v>
      </c>
      <c r="N55" t="s">
        <v>549</v>
      </c>
    </row>
    <row r="56" spans="1:14" x14ac:dyDescent="0.3">
      <c r="A56" t="s">
        <v>68</v>
      </c>
      <c r="B56" s="3">
        <v>45562</v>
      </c>
      <c r="C56" t="s">
        <v>516</v>
      </c>
      <c r="D56" t="s">
        <v>533</v>
      </c>
      <c r="E56" t="s">
        <v>537</v>
      </c>
      <c r="F56">
        <v>8</v>
      </c>
      <c r="G56">
        <v>8</v>
      </c>
      <c r="H56">
        <v>222</v>
      </c>
      <c r="I56">
        <v>1776</v>
      </c>
      <c r="J56">
        <v>0.1</v>
      </c>
      <c r="K56">
        <v>177.6</v>
      </c>
      <c r="L56">
        <v>1953.6</v>
      </c>
      <c r="M56" t="s">
        <v>542</v>
      </c>
      <c r="N56" t="s">
        <v>544</v>
      </c>
    </row>
    <row r="57" spans="1:14" x14ac:dyDescent="0.3">
      <c r="A57" t="s">
        <v>69</v>
      </c>
      <c r="B57" s="3">
        <v>45725</v>
      </c>
      <c r="C57" t="s">
        <v>522</v>
      </c>
      <c r="D57" t="s">
        <v>524</v>
      </c>
      <c r="E57" t="s">
        <v>535</v>
      </c>
      <c r="F57">
        <v>41</v>
      </c>
      <c r="G57">
        <v>35</v>
      </c>
      <c r="H57">
        <v>92</v>
      </c>
      <c r="I57">
        <v>3220</v>
      </c>
      <c r="J57">
        <v>0.22</v>
      </c>
      <c r="K57">
        <v>708.4</v>
      </c>
      <c r="L57">
        <v>3928.4</v>
      </c>
      <c r="M57" t="s">
        <v>542</v>
      </c>
      <c r="N57" t="s">
        <v>548</v>
      </c>
    </row>
    <row r="58" spans="1:14" x14ac:dyDescent="0.3">
      <c r="A58" t="s">
        <v>70</v>
      </c>
      <c r="B58" s="3">
        <v>45457</v>
      </c>
      <c r="C58" t="s">
        <v>517</v>
      </c>
      <c r="D58" t="s">
        <v>528</v>
      </c>
      <c r="E58" t="s">
        <v>536</v>
      </c>
      <c r="F58">
        <v>4</v>
      </c>
      <c r="G58">
        <v>5</v>
      </c>
      <c r="H58">
        <v>293</v>
      </c>
      <c r="I58">
        <v>1465</v>
      </c>
      <c r="J58">
        <v>0.22</v>
      </c>
      <c r="K58">
        <v>322.3</v>
      </c>
      <c r="L58">
        <v>1787.3</v>
      </c>
      <c r="M58" t="s">
        <v>542</v>
      </c>
      <c r="N58" t="s">
        <v>544</v>
      </c>
    </row>
    <row r="59" spans="1:14" x14ac:dyDescent="0.3">
      <c r="A59" t="s">
        <v>71</v>
      </c>
      <c r="B59" s="3">
        <v>45369</v>
      </c>
      <c r="C59" t="s">
        <v>521</v>
      </c>
      <c r="D59" t="s">
        <v>528</v>
      </c>
      <c r="E59" t="s">
        <v>535</v>
      </c>
      <c r="F59">
        <v>36</v>
      </c>
      <c r="G59">
        <v>41</v>
      </c>
      <c r="H59">
        <v>87</v>
      </c>
      <c r="I59">
        <v>3567</v>
      </c>
      <c r="J59">
        <v>0.22</v>
      </c>
      <c r="K59">
        <v>784.74</v>
      </c>
      <c r="L59">
        <v>4351.74</v>
      </c>
      <c r="M59" t="s">
        <v>541</v>
      </c>
      <c r="N59" t="s">
        <v>545</v>
      </c>
    </row>
    <row r="60" spans="1:14" x14ac:dyDescent="0.3">
      <c r="A60" t="s">
        <v>72</v>
      </c>
      <c r="B60" s="3">
        <v>45443</v>
      </c>
      <c r="C60" t="s">
        <v>515</v>
      </c>
      <c r="D60" t="s">
        <v>532</v>
      </c>
      <c r="E60" t="s">
        <v>535</v>
      </c>
      <c r="F60">
        <v>6</v>
      </c>
      <c r="G60">
        <v>7</v>
      </c>
      <c r="H60">
        <v>260</v>
      </c>
      <c r="I60">
        <v>1820</v>
      </c>
      <c r="J60">
        <v>0.22</v>
      </c>
      <c r="K60">
        <v>400.4</v>
      </c>
      <c r="L60">
        <v>2220.4</v>
      </c>
      <c r="M60" t="s">
        <v>542</v>
      </c>
      <c r="N60" t="s">
        <v>551</v>
      </c>
    </row>
    <row r="61" spans="1:14" x14ac:dyDescent="0.3">
      <c r="A61" t="s">
        <v>73</v>
      </c>
      <c r="B61" s="3">
        <v>45507</v>
      </c>
      <c r="C61" t="s">
        <v>519</v>
      </c>
      <c r="D61" t="s">
        <v>529</v>
      </c>
      <c r="E61" t="s">
        <v>535</v>
      </c>
      <c r="F61">
        <v>67</v>
      </c>
      <c r="G61">
        <v>72</v>
      </c>
      <c r="H61">
        <v>71</v>
      </c>
      <c r="I61">
        <v>5112</v>
      </c>
      <c r="J61">
        <v>0</v>
      </c>
      <c r="K61">
        <v>0</v>
      </c>
      <c r="L61">
        <v>5112</v>
      </c>
      <c r="M61" t="s">
        <v>543</v>
      </c>
      <c r="N61" t="s">
        <v>545</v>
      </c>
    </row>
    <row r="62" spans="1:14" x14ac:dyDescent="0.3">
      <c r="A62" t="s">
        <v>74</v>
      </c>
      <c r="B62" s="3">
        <v>45708</v>
      </c>
      <c r="C62" t="s">
        <v>521</v>
      </c>
      <c r="D62" t="s">
        <v>525</v>
      </c>
      <c r="E62" t="s">
        <v>538</v>
      </c>
      <c r="F62">
        <v>32</v>
      </c>
      <c r="G62">
        <v>34</v>
      </c>
      <c r="H62">
        <v>92</v>
      </c>
      <c r="I62">
        <v>3128</v>
      </c>
      <c r="J62">
        <v>0.22</v>
      </c>
      <c r="K62">
        <v>688.16</v>
      </c>
      <c r="L62">
        <v>3816.16</v>
      </c>
      <c r="M62" t="s">
        <v>542</v>
      </c>
      <c r="N62" t="s">
        <v>546</v>
      </c>
    </row>
    <row r="63" spans="1:14" x14ac:dyDescent="0.3">
      <c r="A63" t="s">
        <v>75</v>
      </c>
      <c r="B63" s="3">
        <v>45317</v>
      </c>
      <c r="C63" t="s">
        <v>521</v>
      </c>
      <c r="D63" t="s">
        <v>531</v>
      </c>
      <c r="E63" t="s">
        <v>538</v>
      </c>
      <c r="F63">
        <v>44</v>
      </c>
      <c r="G63">
        <v>48</v>
      </c>
      <c r="H63">
        <v>210</v>
      </c>
      <c r="I63">
        <v>10080</v>
      </c>
      <c r="J63">
        <v>0.1</v>
      </c>
      <c r="K63">
        <v>1008</v>
      </c>
      <c r="L63">
        <v>11088</v>
      </c>
      <c r="M63" t="s">
        <v>541</v>
      </c>
      <c r="N63" t="s">
        <v>549</v>
      </c>
    </row>
    <row r="64" spans="1:14" x14ac:dyDescent="0.3">
      <c r="A64" t="s">
        <v>76</v>
      </c>
      <c r="B64" s="3">
        <v>45565</v>
      </c>
      <c r="C64" t="s">
        <v>521</v>
      </c>
      <c r="D64" t="s">
        <v>527</v>
      </c>
      <c r="E64" t="s">
        <v>540</v>
      </c>
      <c r="F64">
        <v>70</v>
      </c>
      <c r="G64">
        <v>62</v>
      </c>
      <c r="H64">
        <v>275</v>
      </c>
      <c r="I64">
        <v>17050</v>
      </c>
      <c r="J64">
        <v>0.1</v>
      </c>
      <c r="K64">
        <v>1705</v>
      </c>
      <c r="L64">
        <v>18755</v>
      </c>
      <c r="M64" t="s">
        <v>543</v>
      </c>
      <c r="N64" t="s">
        <v>549</v>
      </c>
    </row>
    <row r="65" spans="1:14" x14ac:dyDescent="0.3">
      <c r="A65" t="s">
        <v>77</v>
      </c>
      <c r="B65" s="3">
        <v>45496</v>
      </c>
      <c r="C65" t="s">
        <v>517</v>
      </c>
      <c r="D65" t="s">
        <v>531</v>
      </c>
      <c r="E65" t="s">
        <v>537</v>
      </c>
      <c r="F65">
        <v>35</v>
      </c>
      <c r="G65">
        <v>37</v>
      </c>
      <c r="H65">
        <v>158</v>
      </c>
      <c r="I65">
        <v>5846</v>
      </c>
      <c r="J65">
        <v>0.22</v>
      </c>
      <c r="K65">
        <v>1286.1199999999999</v>
      </c>
      <c r="L65">
        <v>7132.12</v>
      </c>
      <c r="M65" t="s">
        <v>542</v>
      </c>
      <c r="N65" t="s">
        <v>549</v>
      </c>
    </row>
    <row r="66" spans="1:14" x14ac:dyDescent="0.3">
      <c r="A66" t="s">
        <v>78</v>
      </c>
      <c r="B66" s="3">
        <v>45316</v>
      </c>
      <c r="C66" t="s">
        <v>519</v>
      </c>
      <c r="D66" t="s">
        <v>530</v>
      </c>
      <c r="E66" t="s">
        <v>537</v>
      </c>
      <c r="F66">
        <v>40</v>
      </c>
      <c r="G66">
        <v>44</v>
      </c>
      <c r="H66">
        <v>163</v>
      </c>
      <c r="I66">
        <v>7172</v>
      </c>
      <c r="J66">
        <v>0.22</v>
      </c>
      <c r="K66">
        <v>1577.84</v>
      </c>
      <c r="L66">
        <v>8749.84</v>
      </c>
      <c r="M66" t="s">
        <v>542</v>
      </c>
      <c r="N66" t="s">
        <v>548</v>
      </c>
    </row>
    <row r="67" spans="1:14" x14ac:dyDescent="0.3">
      <c r="A67" t="s">
        <v>79</v>
      </c>
      <c r="B67" s="3">
        <v>45651</v>
      </c>
      <c r="C67" t="s">
        <v>516</v>
      </c>
      <c r="D67" t="s">
        <v>530</v>
      </c>
      <c r="E67" t="s">
        <v>536</v>
      </c>
      <c r="F67">
        <v>36</v>
      </c>
      <c r="G67">
        <v>35</v>
      </c>
      <c r="H67">
        <v>252</v>
      </c>
      <c r="I67">
        <v>8820</v>
      </c>
      <c r="J67">
        <v>0.1</v>
      </c>
      <c r="K67">
        <v>882</v>
      </c>
      <c r="L67">
        <v>9702</v>
      </c>
      <c r="M67" t="s">
        <v>541</v>
      </c>
      <c r="N67" t="s">
        <v>551</v>
      </c>
    </row>
    <row r="68" spans="1:14" x14ac:dyDescent="0.3">
      <c r="A68" t="s">
        <v>80</v>
      </c>
      <c r="B68" s="3">
        <v>45320</v>
      </c>
      <c r="C68" t="s">
        <v>520</v>
      </c>
      <c r="D68" t="s">
        <v>523</v>
      </c>
      <c r="E68" t="s">
        <v>534</v>
      </c>
      <c r="F68">
        <v>40</v>
      </c>
      <c r="G68">
        <v>47</v>
      </c>
      <c r="H68">
        <v>265</v>
      </c>
      <c r="I68">
        <v>12455</v>
      </c>
      <c r="J68">
        <v>0.22</v>
      </c>
      <c r="K68">
        <v>2740.1</v>
      </c>
      <c r="L68">
        <v>15195.1</v>
      </c>
      <c r="M68" t="s">
        <v>543</v>
      </c>
      <c r="N68" t="s">
        <v>550</v>
      </c>
    </row>
    <row r="69" spans="1:14" x14ac:dyDescent="0.3">
      <c r="A69" t="s">
        <v>81</v>
      </c>
      <c r="B69" s="3">
        <v>45403</v>
      </c>
      <c r="C69" t="s">
        <v>515</v>
      </c>
      <c r="D69" t="s">
        <v>531</v>
      </c>
      <c r="E69" t="s">
        <v>536</v>
      </c>
      <c r="F69">
        <v>3</v>
      </c>
      <c r="G69">
        <v>3</v>
      </c>
      <c r="H69">
        <v>60</v>
      </c>
      <c r="I69">
        <v>180</v>
      </c>
      <c r="J69">
        <v>0.22</v>
      </c>
      <c r="K69">
        <v>39.6</v>
      </c>
      <c r="L69">
        <v>219.6</v>
      </c>
      <c r="M69" t="s">
        <v>543</v>
      </c>
      <c r="N69" t="s">
        <v>553</v>
      </c>
    </row>
    <row r="70" spans="1:14" x14ac:dyDescent="0.3">
      <c r="A70" t="s">
        <v>82</v>
      </c>
      <c r="B70" s="3">
        <v>45815</v>
      </c>
      <c r="C70" t="s">
        <v>520</v>
      </c>
      <c r="D70" t="s">
        <v>530</v>
      </c>
      <c r="E70" t="s">
        <v>539</v>
      </c>
      <c r="F70">
        <v>4</v>
      </c>
      <c r="G70">
        <v>5</v>
      </c>
      <c r="H70">
        <v>277</v>
      </c>
      <c r="I70">
        <v>1385</v>
      </c>
      <c r="J70">
        <v>0.22</v>
      </c>
      <c r="K70">
        <v>304.7</v>
      </c>
      <c r="L70">
        <v>1689.7</v>
      </c>
      <c r="M70" t="s">
        <v>542</v>
      </c>
      <c r="N70" t="s">
        <v>546</v>
      </c>
    </row>
    <row r="71" spans="1:14" x14ac:dyDescent="0.3">
      <c r="A71" t="s">
        <v>83</v>
      </c>
      <c r="B71" s="3">
        <v>45293</v>
      </c>
      <c r="C71" t="s">
        <v>516</v>
      </c>
      <c r="D71" t="s">
        <v>528</v>
      </c>
      <c r="E71" t="s">
        <v>536</v>
      </c>
      <c r="F71">
        <v>17</v>
      </c>
      <c r="G71">
        <v>14</v>
      </c>
      <c r="H71">
        <v>162</v>
      </c>
      <c r="I71">
        <v>2268</v>
      </c>
      <c r="J71">
        <v>0.22</v>
      </c>
      <c r="K71">
        <v>498.96</v>
      </c>
      <c r="L71">
        <v>2766.96</v>
      </c>
      <c r="M71" t="s">
        <v>541</v>
      </c>
      <c r="N71" t="s">
        <v>549</v>
      </c>
    </row>
    <row r="72" spans="1:14" x14ac:dyDescent="0.3">
      <c r="A72" t="s">
        <v>84</v>
      </c>
      <c r="B72" s="3">
        <v>45664</v>
      </c>
      <c r="C72" t="s">
        <v>515</v>
      </c>
      <c r="D72" t="s">
        <v>527</v>
      </c>
      <c r="E72" t="s">
        <v>536</v>
      </c>
      <c r="F72">
        <v>30</v>
      </c>
      <c r="G72">
        <v>27</v>
      </c>
      <c r="H72">
        <v>196</v>
      </c>
      <c r="I72">
        <v>5292</v>
      </c>
      <c r="J72">
        <v>0.1</v>
      </c>
      <c r="K72">
        <v>529.20000000000005</v>
      </c>
      <c r="L72">
        <v>5821.2</v>
      </c>
      <c r="M72" t="s">
        <v>541</v>
      </c>
      <c r="N72" t="s">
        <v>551</v>
      </c>
    </row>
    <row r="73" spans="1:14" x14ac:dyDescent="0.3">
      <c r="A73" t="s">
        <v>85</v>
      </c>
      <c r="B73" s="3">
        <v>45419</v>
      </c>
      <c r="C73" t="s">
        <v>522</v>
      </c>
      <c r="D73" t="s">
        <v>528</v>
      </c>
      <c r="E73" t="s">
        <v>537</v>
      </c>
      <c r="F73">
        <v>69</v>
      </c>
      <c r="G73">
        <v>79</v>
      </c>
      <c r="H73">
        <v>74</v>
      </c>
      <c r="I73">
        <v>5846</v>
      </c>
      <c r="J73">
        <v>0.22</v>
      </c>
      <c r="K73">
        <v>1286.1199999999999</v>
      </c>
      <c r="L73">
        <v>7132.12</v>
      </c>
      <c r="M73" t="s">
        <v>543</v>
      </c>
      <c r="N73" t="s">
        <v>546</v>
      </c>
    </row>
    <row r="74" spans="1:14" x14ac:dyDescent="0.3">
      <c r="A74" t="s">
        <v>86</v>
      </c>
      <c r="B74" s="3">
        <v>45594</v>
      </c>
      <c r="C74" t="s">
        <v>516</v>
      </c>
      <c r="D74" t="s">
        <v>532</v>
      </c>
      <c r="E74" t="s">
        <v>534</v>
      </c>
      <c r="F74">
        <v>34</v>
      </c>
      <c r="G74">
        <v>42</v>
      </c>
      <c r="H74">
        <v>183</v>
      </c>
      <c r="I74">
        <v>7686</v>
      </c>
      <c r="J74">
        <v>0.22</v>
      </c>
      <c r="K74">
        <v>1690.92</v>
      </c>
      <c r="L74">
        <v>9376.92</v>
      </c>
      <c r="M74" t="s">
        <v>543</v>
      </c>
      <c r="N74" t="s">
        <v>547</v>
      </c>
    </row>
    <row r="75" spans="1:14" x14ac:dyDescent="0.3">
      <c r="A75" t="s">
        <v>87</v>
      </c>
      <c r="B75" s="3">
        <v>45600</v>
      </c>
      <c r="C75" t="s">
        <v>515</v>
      </c>
      <c r="D75" t="s">
        <v>528</v>
      </c>
      <c r="E75" t="s">
        <v>538</v>
      </c>
      <c r="F75">
        <v>87</v>
      </c>
      <c r="G75">
        <v>77</v>
      </c>
      <c r="H75">
        <v>238</v>
      </c>
      <c r="I75">
        <v>18326</v>
      </c>
      <c r="J75">
        <v>0.22</v>
      </c>
      <c r="K75">
        <v>4031.72</v>
      </c>
      <c r="L75">
        <v>22357.72</v>
      </c>
      <c r="M75" t="s">
        <v>543</v>
      </c>
      <c r="N75" t="s">
        <v>549</v>
      </c>
    </row>
    <row r="76" spans="1:14" x14ac:dyDescent="0.3">
      <c r="A76" t="s">
        <v>88</v>
      </c>
      <c r="B76" s="3">
        <v>45732</v>
      </c>
      <c r="C76" t="s">
        <v>518</v>
      </c>
      <c r="D76" t="s">
        <v>533</v>
      </c>
      <c r="E76" t="s">
        <v>540</v>
      </c>
      <c r="F76">
        <v>68</v>
      </c>
      <c r="G76">
        <v>63</v>
      </c>
      <c r="H76">
        <v>155</v>
      </c>
      <c r="I76">
        <v>9765</v>
      </c>
      <c r="J76">
        <v>0.22</v>
      </c>
      <c r="K76">
        <v>2148.3000000000002</v>
      </c>
      <c r="L76">
        <v>11913.3</v>
      </c>
      <c r="M76" t="s">
        <v>542</v>
      </c>
      <c r="N76" t="s">
        <v>545</v>
      </c>
    </row>
    <row r="77" spans="1:14" x14ac:dyDescent="0.3">
      <c r="A77" t="s">
        <v>89</v>
      </c>
      <c r="B77" s="3">
        <v>45776</v>
      </c>
      <c r="C77" t="s">
        <v>521</v>
      </c>
      <c r="D77" t="s">
        <v>529</v>
      </c>
      <c r="E77" t="s">
        <v>535</v>
      </c>
      <c r="F77">
        <v>57</v>
      </c>
      <c r="G77">
        <v>52</v>
      </c>
      <c r="H77">
        <v>155</v>
      </c>
      <c r="I77">
        <v>8060</v>
      </c>
      <c r="J77">
        <v>0</v>
      </c>
      <c r="K77">
        <v>0</v>
      </c>
      <c r="L77">
        <v>8060</v>
      </c>
      <c r="M77" t="s">
        <v>543</v>
      </c>
      <c r="N77" t="s">
        <v>545</v>
      </c>
    </row>
    <row r="78" spans="1:14" x14ac:dyDescent="0.3">
      <c r="A78" t="s">
        <v>90</v>
      </c>
      <c r="B78" s="3">
        <v>45635</v>
      </c>
      <c r="C78" t="s">
        <v>520</v>
      </c>
      <c r="D78" t="s">
        <v>525</v>
      </c>
      <c r="E78" t="s">
        <v>536</v>
      </c>
      <c r="F78">
        <v>4</v>
      </c>
      <c r="G78">
        <v>4</v>
      </c>
      <c r="H78">
        <v>281</v>
      </c>
      <c r="I78">
        <v>1124</v>
      </c>
      <c r="J78">
        <v>0.22</v>
      </c>
      <c r="K78">
        <v>247.28</v>
      </c>
      <c r="L78">
        <v>1371.28</v>
      </c>
      <c r="M78" t="s">
        <v>542</v>
      </c>
      <c r="N78" t="s">
        <v>547</v>
      </c>
    </row>
    <row r="79" spans="1:14" x14ac:dyDescent="0.3">
      <c r="A79" t="s">
        <v>91</v>
      </c>
      <c r="B79" s="3">
        <v>45317</v>
      </c>
      <c r="C79" t="s">
        <v>514</v>
      </c>
      <c r="D79" t="s">
        <v>525</v>
      </c>
      <c r="E79" t="s">
        <v>540</v>
      </c>
      <c r="F79">
        <v>19</v>
      </c>
      <c r="G79">
        <v>23</v>
      </c>
      <c r="H79">
        <v>290</v>
      </c>
      <c r="I79">
        <v>6670</v>
      </c>
      <c r="J79">
        <v>0.22</v>
      </c>
      <c r="K79">
        <v>1467.4</v>
      </c>
      <c r="L79">
        <v>8137.4</v>
      </c>
      <c r="M79" t="s">
        <v>542</v>
      </c>
      <c r="N79" t="s">
        <v>552</v>
      </c>
    </row>
    <row r="80" spans="1:14" x14ac:dyDescent="0.3">
      <c r="A80" t="s">
        <v>92</v>
      </c>
      <c r="B80" s="3">
        <v>45716</v>
      </c>
      <c r="C80" t="s">
        <v>519</v>
      </c>
      <c r="D80" t="s">
        <v>530</v>
      </c>
      <c r="E80" t="s">
        <v>540</v>
      </c>
      <c r="F80">
        <v>14</v>
      </c>
      <c r="G80">
        <v>15</v>
      </c>
      <c r="H80">
        <v>230</v>
      </c>
      <c r="I80">
        <v>3450</v>
      </c>
      <c r="J80">
        <v>0.22</v>
      </c>
      <c r="K80">
        <v>759</v>
      </c>
      <c r="L80">
        <v>4209</v>
      </c>
      <c r="M80" t="s">
        <v>542</v>
      </c>
      <c r="N80" t="s">
        <v>550</v>
      </c>
    </row>
    <row r="81" spans="1:14" x14ac:dyDescent="0.3">
      <c r="A81" t="s">
        <v>93</v>
      </c>
      <c r="B81" s="3">
        <v>45401</v>
      </c>
      <c r="C81" t="s">
        <v>515</v>
      </c>
      <c r="D81" t="s">
        <v>525</v>
      </c>
      <c r="E81" t="s">
        <v>534</v>
      </c>
      <c r="F81">
        <v>25</v>
      </c>
      <c r="G81">
        <v>29</v>
      </c>
      <c r="H81">
        <v>95</v>
      </c>
      <c r="I81">
        <v>2755</v>
      </c>
      <c r="J81">
        <v>0.22</v>
      </c>
      <c r="K81">
        <v>606.1</v>
      </c>
      <c r="L81">
        <v>3361.1</v>
      </c>
      <c r="M81" t="s">
        <v>541</v>
      </c>
      <c r="N81" t="s">
        <v>545</v>
      </c>
    </row>
    <row r="82" spans="1:14" x14ac:dyDescent="0.3">
      <c r="A82" t="s">
        <v>94</v>
      </c>
      <c r="B82" s="3">
        <v>45767</v>
      </c>
      <c r="C82" t="s">
        <v>514</v>
      </c>
      <c r="D82" t="s">
        <v>528</v>
      </c>
      <c r="E82" t="s">
        <v>534</v>
      </c>
      <c r="F82">
        <v>15</v>
      </c>
      <c r="G82">
        <v>13</v>
      </c>
      <c r="H82">
        <v>219</v>
      </c>
      <c r="I82">
        <v>2847</v>
      </c>
      <c r="J82">
        <v>0.1</v>
      </c>
      <c r="K82">
        <v>284.7</v>
      </c>
      <c r="L82">
        <v>3131.7</v>
      </c>
      <c r="M82" t="s">
        <v>542</v>
      </c>
      <c r="N82" t="s">
        <v>552</v>
      </c>
    </row>
    <row r="83" spans="1:14" x14ac:dyDescent="0.3">
      <c r="A83" t="s">
        <v>95</v>
      </c>
      <c r="B83" s="3">
        <v>45428</v>
      </c>
      <c r="C83" t="s">
        <v>517</v>
      </c>
      <c r="D83" t="s">
        <v>529</v>
      </c>
      <c r="E83" t="s">
        <v>539</v>
      </c>
      <c r="F83">
        <v>75</v>
      </c>
      <c r="G83">
        <v>71</v>
      </c>
      <c r="H83">
        <v>246</v>
      </c>
      <c r="I83">
        <v>17466</v>
      </c>
      <c r="J83">
        <v>0</v>
      </c>
      <c r="K83">
        <v>0</v>
      </c>
      <c r="L83">
        <v>17466</v>
      </c>
      <c r="M83" t="s">
        <v>541</v>
      </c>
      <c r="N83" t="s">
        <v>553</v>
      </c>
    </row>
    <row r="84" spans="1:14" x14ac:dyDescent="0.3">
      <c r="A84" t="s">
        <v>96</v>
      </c>
      <c r="B84" s="3">
        <v>45616</v>
      </c>
      <c r="C84" t="s">
        <v>517</v>
      </c>
      <c r="D84" t="s">
        <v>526</v>
      </c>
      <c r="E84" t="s">
        <v>538</v>
      </c>
      <c r="F84">
        <v>26</v>
      </c>
      <c r="G84">
        <v>28</v>
      </c>
      <c r="H84">
        <v>125</v>
      </c>
      <c r="I84">
        <v>3500</v>
      </c>
      <c r="J84">
        <v>0</v>
      </c>
      <c r="K84">
        <v>0</v>
      </c>
      <c r="L84">
        <v>3500</v>
      </c>
      <c r="M84" t="s">
        <v>541</v>
      </c>
      <c r="N84" t="s">
        <v>545</v>
      </c>
    </row>
    <row r="85" spans="1:14" x14ac:dyDescent="0.3">
      <c r="A85" t="s">
        <v>97</v>
      </c>
      <c r="B85" s="3">
        <v>45728</v>
      </c>
      <c r="C85" t="s">
        <v>516</v>
      </c>
      <c r="D85" t="s">
        <v>533</v>
      </c>
      <c r="E85" t="s">
        <v>534</v>
      </c>
      <c r="F85">
        <v>35</v>
      </c>
      <c r="G85">
        <v>42</v>
      </c>
      <c r="H85">
        <v>104</v>
      </c>
      <c r="I85">
        <v>4368</v>
      </c>
      <c r="J85">
        <v>0.22</v>
      </c>
      <c r="K85">
        <v>960.96</v>
      </c>
      <c r="L85">
        <v>5328.96</v>
      </c>
      <c r="M85" t="s">
        <v>543</v>
      </c>
      <c r="N85" t="s">
        <v>552</v>
      </c>
    </row>
    <row r="86" spans="1:14" x14ac:dyDescent="0.3">
      <c r="A86" t="s">
        <v>98</v>
      </c>
      <c r="B86" s="3">
        <v>45557</v>
      </c>
      <c r="C86" t="s">
        <v>519</v>
      </c>
      <c r="D86" t="s">
        <v>529</v>
      </c>
      <c r="E86" t="s">
        <v>537</v>
      </c>
      <c r="F86">
        <v>57</v>
      </c>
      <c r="G86">
        <v>62</v>
      </c>
      <c r="H86">
        <v>244</v>
      </c>
      <c r="I86">
        <v>15128</v>
      </c>
      <c r="J86">
        <v>0</v>
      </c>
      <c r="K86">
        <v>0</v>
      </c>
      <c r="L86">
        <v>15128</v>
      </c>
      <c r="M86" t="s">
        <v>541</v>
      </c>
      <c r="N86" t="s">
        <v>552</v>
      </c>
    </row>
    <row r="87" spans="1:14" x14ac:dyDescent="0.3">
      <c r="A87" t="s">
        <v>99</v>
      </c>
      <c r="B87" s="3">
        <v>45536</v>
      </c>
      <c r="C87" t="s">
        <v>522</v>
      </c>
      <c r="D87" t="s">
        <v>533</v>
      </c>
      <c r="E87" t="s">
        <v>535</v>
      </c>
      <c r="F87">
        <v>6</v>
      </c>
      <c r="G87">
        <v>6</v>
      </c>
      <c r="H87">
        <v>87</v>
      </c>
      <c r="I87">
        <v>522</v>
      </c>
      <c r="J87">
        <v>0.22</v>
      </c>
      <c r="K87">
        <v>114.84</v>
      </c>
      <c r="L87">
        <v>636.84</v>
      </c>
      <c r="M87" t="s">
        <v>542</v>
      </c>
      <c r="N87" t="s">
        <v>548</v>
      </c>
    </row>
    <row r="88" spans="1:14" x14ac:dyDescent="0.3">
      <c r="A88" t="s">
        <v>100</v>
      </c>
      <c r="B88" s="3">
        <v>45635</v>
      </c>
      <c r="C88" t="s">
        <v>518</v>
      </c>
      <c r="D88" t="s">
        <v>528</v>
      </c>
      <c r="E88" t="s">
        <v>535</v>
      </c>
      <c r="F88">
        <v>31</v>
      </c>
      <c r="G88">
        <v>28</v>
      </c>
      <c r="H88">
        <v>167</v>
      </c>
      <c r="I88">
        <v>4676</v>
      </c>
      <c r="J88">
        <v>0.22</v>
      </c>
      <c r="K88">
        <v>1028.72</v>
      </c>
      <c r="L88">
        <v>5704.72</v>
      </c>
      <c r="M88" t="s">
        <v>542</v>
      </c>
      <c r="N88" t="s">
        <v>546</v>
      </c>
    </row>
    <row r="89" spans="1:14" x14ac:dyDescent="0.3">
      <c r="A89" t="s">
        <v>101</v>
      </c>
      <c r="B89" s="3">
        <v>45448</v>
      </c>
      <c r="C89" t="s">
        <v>519</v>
      </c>
      <c r="D89" t="s">
        <v>527</v>
      </c>
      <c r="E89" t="s">
        <v>540</v>
      </c>
      <c r="F89">
        <v>46</v>
      </c>
      <c r="G89">
        <v>44</v>
      </c>
      <c r="H89">
        <v>143</v>
      </c>
      <c r="I89">
        <v>6292</v>
      </c>
      <c r="J89">
        <v>0.22</v>
      </c>
      <c r="K89">
        <v>1384.24</v>
      </c>
      <c r="L89">
        <v>7676.24</v>
      </c>
      <c r="M89" t="s">
        <v>541</v>
      </c>
      <c r="N89" t="s">
        <v>552</v>
      </c>
    </row>
    <row r="90" spans="1:14" x14ac:dyDescent="0.3">
      <c r="A90" t="s">
        <v>102</v>
      </c>
      <c r="B90" s="3">
        <v>45717</v>
      </c>
      <c r="C90" t="s">
        <v>514</v>
      </c>
      <c r="D90" t="s">
        <v>525</v>
      </c>
      <c r="E90" t="s">
        <v>538</v>
      </c>
      <c r="F90">
        <v>35</v>
      </c>
      <c r="G90">
        <v>30</v>
      </c>
      <c r="H90">
        <v>249</v>
      </c>
      <c r="I90">
        <v>7470</v>
      </c>
      <c r="J90">
        <v>0.22</v>
      </c>
      <c r="K90">
        <v>1643.4</v>
      </c>
      <c r="L90">
        <v>9113.4</v>
      </c>
      <c r="M90" t="s">
        <v>541</v>
      </c>
      <c r="N90" t="s">
        <v>550</v>
      </c>
    </row>
    <row r="91" spans="1:14" x14ac:dyDescent="0.3">
      <c r="A91" t="s">
        <v>103</v>
      </c>
      <c r="B91" s="3">
        <v>45681</v>
      </c>
      <c r="C91" t="s">
        <v>517</v>
      </c>
      <c r="D91" t="s">
        <v>524</v>
      </c>
      <c r="E91" t="s">
        <v>537</v>
      </c>
      <c r="F91">
        <v>74</v>
      </c>
      <c r="G91">
        <v>75</v>
      </c>
      <c r="H91">
        <v>187</v>
      </c>
      <c r="I91">
        <v>14025</v>
      </c>
      <c r="J91">
        <v>0.22</v>
      </c>
      <c r="K91">
        <v>3085.5</v>
      </c>
      <c r="L91">
        <v>17110.5</v>
      </c>
      <c r="M91" t="s">
        <v>543</v>
      </c>
      <c r="N91" t="s">
        <v>546</v>
      </c>
    </row>
    <row r="92" spans="1:14" x14ac:dyDescent="0.3">
      <c r="A92" t="s">
        <v>104</v>
      </c>
      <c r="B92" s="3">
        <v>45517</v>
      </c>
      <c r="C92" t="s">
        <v>517</v>
      </c>
      <c r="D92" t="s">
        <v>525</v>
      </c>
      <c r="E92" t="s">
        <v>537</v>
      </c>
      <c r="F92">
        <v>53</v>
      </c>
      <c r="G92">
        <v>62</v>
      </c>
      <c r="H92">
        <v>284</v>
      </c>
      <c r="I92">
        <v>17608</v>
      </c>
      <c r="J92">
        <v>0.22</v>
      </c>
      <c r="K92">
        <v>3873.76</v>
      </c>
      <c r="L92">
        <v>21481.759999999998</v>
      </c>
      <c r="M92" t="s">
        <v>542</v>
      </c>
      <c r="N92" t="s">
        <v>546</v>
      </c>
    </row>
    <row r="93" spans="1:14" x14ac:dyDescent="0.3">
      <c r="A93" t="s">
        <v>105</v>
      </c>
      <c r="B93" s="3">
        <v>45636</v>
      </c>
      <c r="C93" t="s">
        <v>515</v>
      </c>
      <c r="D93" t="s">
        <v>532</v>
      </c>
      <c r="E93" t="s">
        <v>538</v>
      </c>
      <c r="F93">
        <v>1</v>
      </c>
      <c r="G93">
        <v>1</v>
      </c>
      <c r="H93">
        <v>180</v>
      </c>
      <c r="I93">
        <v>180</v>
      </c>
      <c r="J93">
        <v>0.22</v>
      </c>
      <c r="K93">
        <v>39.6</v>
      </c>
      <c r="L93">
        <v>219.6</v>
      </c>
      <c r="M93" t="s">
        <v>542</v>
      </c>
      <c r="N93" t="s">
        <v>553</v>
      </c>
    </row>
    <row r="94" spans="1:14" x14ac:dyDescent="0.3">
      <c r="A94" t="s">
        <v>106</v>
      </c>
      <c r="B94" s="3">
        <v>45319</v>
      </c>
      <c r="C94" t="s">
        <v>515</v>
      </c>
      <c r="D94" t="s">
        <v>526</v>
      </c>
      <c r="E94" t="s">
        <v>539</v>
      </c>
      <c r="F94">
        <v>30</v>
      </c>
      <c r="G94">
        <v>27</v>
      </c>
      <c r="H94">
        <v>249</v>
      </c>
      <c r="I94">
        <v>6723</v>
      </c>
      <c r="J94">
        <v>0</v>
      </c>
      <c r="K94">
        <v>0</v>
      </c>
      <c r="L94">
        <v>6723</v>
      </c>
      <c r="M94" t="s">
        <v>541</v>
      </c>
      <c r="N94" t="s">
        <v>550</v>
      </c>
    </row>
    <row r="95" spans="1:14" x14ac:dyDescent="0.3">
      <c r="A95" t="s">
        <v>107</v>
      </c>
      <c r="B95" s="3">
        <v>45377</v>
      </c>
      <c r="C95" t="s">
        <v>515</v>
      </c>
      <c r="D95" t="s">
        <v>532</v>
      </c>
      <c r="E95" t="s">
        <v>538</v>
      </c>
      <c r="F95">
        <v>79</v>
      </c>
      <c r="G95">
        <v>77</v>
      </c>
      <c r="H95">
        <v>292</v>
      </c>
      <c r="I95">
        <v>22484</v>
      </c>
      <c r="J95">
        <v>0.22</v>
      </c>
      <c r="K95">
        <v>4946.4799999999996</v>
      </c>
      <c r="L95">
        <v>27430.48</v>
      </c>
      <c r="M95" t="s">
        <v>542</v>
      </c>
      <c r="N95" t="s">
        <v>548</v>
      </c>
    </row>
    <row r="96" spans="1:14" x14ac:dyDescent="0.3">
      <c r="A96" t="s">
        <v>108</v>
      </c>
      <c r="B96" s="3">
        <v>45680</v>
      </c>
      <c r="C96" t="s">
        <v>518</v>
      </c>
      <c r="D96" t="s">
        <v>525</v>
      </c>
      <c r="E96" t="s">
        <v>540</v>
      </c>
      <c r="F96">
        <v>3</v>
      </c>
      <c r="G96">
        <v>3</v>
      </c>
      <c r="H96">
        <v>162</v>
      </c>
      <c r="I96">
        <v>486</v>
      </c>
      <c r="J96">
        <v>0.22</v>
      </c>
      <c r="K96">
        <v>106.92</v>
      </c>
      <c r="L96">
        <v>592.91999999999996</v>
      </c>
      <c r="M96" t="s">
        <v>543</v>
      </c>
      <c r="N96" t="s">
        <v>548</v>
      </c>
    </row>
    <row r="97" spans="1:14" x14ac:dyDescent="0.3">
      <c r="A97" t="s">
        <v>109</v>
      </c>
      <c r="B97" s="3">
        <v>45723</v>
      </c>
      <c r="C97" t="s">
        <v>522</v>
      </c>
      <c r="D97" t="s">
        <v>527</v>
      </c>
      <c r="E97" t="s">
        <v>540</v>
      </c>
      <c r="F97">
        <v>70</v>
      </c>
      <c r="G97">
        <v>70</v>
      </c>
      <c r="H97">
        <v>259</v>
      </c>
      <c r="I97">
        <v>18130</v>
      </c>
      <c r="J97">
        <v>0.22</v>
      </c>
      <c r="K97">
        <v>3988.6</v>
      </c>
      <c r="L97">
        <v>22118.6</v>
      </c>
      <c r="M97" t="s">
        <v>541</v>
      </c>
      <c r="N97" t="s">
        <v>550</v>
      </c>
    </row>
    <row r="98" spans="1:14" x14ac:dyDescent="0.3">
      <c r="A98" t="s">
        <v>110</v>
      </c>
      <c r="B98" s="3">
        <v>45650</v>
      </c>
      <c r="C98" t="s">
        <v>519</v>
      </c>
      <c r="D98" t="s">
        <v>529</v>
      </c>
      <c r="E98" t="s">
        <v>535</v>
      </c>
      <c r="F98">
        <v>27</v>
      </c>
      <c r="G98">
        <v>27</v>
      </c>
      <c r="H98">
        <v>196</v>
      </c>
      <c r="I98">
        <v>5292</v>
      </c>
      <c r="J98">
        <v>0</v>
      </c>
      <c r="K98">
        <v>0</v>
      </c>
      <c r="L98">
        <v>5292</v>
      </c>
      <c r="M98" t="s">
        <v>541</v>
      </c>
      <c r="N98" t="s">
        <v>550</v>
      </c>
    </row>
    <row r="99" spans="1:14" x14ac:dyDescent="0.3">
      <c r="A99" t="s">
        <v>111</v>
      </c>
      <c r="B99" s="3">
        <v>45323</v>
      </c>
      <c r="C99" t="s">
        <v>519</v>
      </c>
      <c r="D99" t="s">
        <v>525</v>
      </c>
      <c r="E99" t="s">
        <v>538</v>
      </c>
      <c r="F99">
        <v>60</v>
      </c>
      <c r="G99">
        <v>62</v>
      </c>
      <c r="H99">
        <v>224</v>
      </c>
      <c r="I99">
        <v>13888</v>
      </c>
      <c r="J99">
        <v>0.22</v>
      </c>
      <c r="K99">
        <v>3055.36</v>
      </c>
      <c r="L99">
        <v>16943.36</v>
      </c>
      <c r="M99" t="s">
        <v>542</v>
      </c>
      <c r="N99" t="s">
        <v>549</v>
      </c>
    </row>
    <row r="100" spans="1:14" x14ac:dyDescent="0.3">
      <c r="A100" t="s">
        <v>112</v>
      </c>
      <c r="B100" s="3">
        <v>45421</v>
      </c>
      <c r="C100" t="s">
        <v>517</v>
      </c>
      <c r="D100" t="s">
        <v>529</v>
      </c>
      <c r="E100" t="s">
        <v>535</v>
      </c>
      <c r="F100">
        <v>41</v>
      </c>
      <c r="G100">
        <v>51</v>
      </c>
      <c r="H100">
        <v>293</v>
      </c>
      <c r="I100">
        <v>14943</v>
      </c>
      <c r="J100">
        <v>0</v>
      </c>
      <c r="K100">
        <v>0</v>
      </c>
      <c r="L100">
        <v>14943</v>
      </c>
      <c r="M100" t="s">
        <v>541</v>
      </c>
      <c r="N100" t="s">
        <v>549</v>
      </c>
    </row>
    <row r="101" spans="1:14" x14ac:dyDescent="0.3">
      <c r="A101" t="s">
        <v>113</v>
      </c>
      <c r="B101" s="3">
        <v>45768</v>
      </c>
      <c r="C101" t="s">
        <v>522</v>
      </c>
      <c r="D101" t="s">
        <v>531</v>
      </c>
      <c r="E101" t="s">
        <v>534</v>
      </c>
      <c r="F101">
        <v>37</v>
      </c>
      <c r="G101">
        <v>44</v>
      </c>
      <c r="H101">
        <v>211</v>
      </c>
      <c r="I101">
        <v>9284</v>
      </c>
      <c r="J101">
        <v>0.22</v>
      </c>
      <c r="K101">
        <v>2042.48</v>
      </c>
      <c r="L101">
        <v>11326.48</v>
      </c>
      <c r="M101" t="s">
        <v>541</v>
      </c>
      <c r="N101" t="s">
        <v>544</v>
      </c>
    </row>
    <row r="102" spans="1:14" x14ac:dyDescent="0.3">
      <c r="A102" t="s">
        <v>114</v>
      </c>
      <c r="B102" s="3">
        <v>45459</v>
      </c>
      <c r="C102" t="s">
        <v>522</v>
      </c>
      <c r="D102" t="s">
        <v>527</v>
      </c>
      <c r="E102" t="s">
        <v>539</v>
      </c>
      <c r="F102">
        <v>64</v>
      </c>
      <c r="G102">
        <v>79</v>
      </c>
      <c r="H102">
        <v>118</v>
      </c>
      <c r="I102">
        <v>9322</v>
      </c>
      <c r="J102">
        <v>0.22</v>
      </c>
      <c r="K102">
        <v>2050.84</v>
      </c>
      <c r="L102">
        <v>11372.84</v>
      </c>
      <c r="M102" t="s">
        <v>543</v>
      </c>
      <c r="N102" t="s">
        <v>553</v>
      </c>
    </row>
    <row r="103" spans="1:14" x14ac:dyDescent="0.3">
      <c r="A103" t="s">
        <v>115</v>
      </c>
      <c r="B103" s="3">
        <v>45676</v>
      </c>
      <c r="C103" t="s">
        <v>515</v>
      </c>
      <c r="D103" t="s">
        <v>525</v>
      </c>
      <c r="E103" t="s">
        <v>535</v>
      </c>
      <c r="F103">
        <v>34</v>
      </c>
      <c r="G103">
        <v>32</v>
      </c>
      <c r="H103">
        <v>155</v>
      </c>
      <c r="I103">
        <v>4960</v>
      </c>
      <c r="J103">
        <v>0.22</v>
      </c>
      <c r="K103">
        <v>1091.2</v>
      </c>
      <c r="L103">
        <v>6051.2</v>
      </c>
      <c r="M103" t="s">
        <v>541</v>
      </c>
      <c r="N103" t="s">
        <v>549</v>
      </c>
    </row>
    <row r="104" spans="1:14" x14ac:dyDescent="0.3">
      <c r="A104" t="s">
        <v>116</v>
      </c>
      <c r="B104" s="3">
        <v>45396</v>
      </c>
      <c r="C104" t="s">
        <v>522</v>
      </c>
      <c r="D104" t="s">
        <v>529</v>
      </c>
      <c r="E104" t="s">
        <v>539</v>
      </c>
      <c r="F104">
        <v>48</v>
      </c>
      <c r="G104">
        <v>52</v>
      </c>
      <c r="H104">
        <v>172</v>
      </c>
      <c r="I104">
        <v>8944</v>
      </c>
      <c r="J104">
        <v>0</v>
      </c>
      <c r="K104">
        <v>0</v>
      </c>
      <c r="L104">
        <v>8944</v>
      </c>
      <c r="M104" t="s">
        <v>542</v>
      </c>
      <c r="N104" t="s">
        <v>553</v>
      </c>
    </row>
    <row r="105" spans="1:14" x14ac:dyDescent="0.3">
      <c r="A105" t="s">
        <v>117</v>
      </c>
      <c r="B105" s="3">
        <v>45334</v>
      </c>
      <c r="C105" t="s">
        <v>518</v>
      </c>
      <c r="D105" t="s">
        <v>528</v>
      </c>
      <c r="E105" t="s">
        <v>540</v>
      </c>
      <c r="F105">
        <v>62</v>
      </c>
      <c r="G105">
        <v>62</v>
      </c>
      <c r="H105">
        <v>300</v>
      </c>
      <c r="I105">
        <v>18600</v>
      </c>
      <c r="J105">
        <v>0.22</v>
      </c>
      <c r="K105">
        <v>4092</v>
      </c>
      <c r="L105">
        <v>22692</v>
      </c>
      <c r="M105" t="s">
        <v>542</v>
      </c>
      <c r="N105" t="s">
        <v>545</v>
      </c>
    </row>
    <row r="106" spans="1:14" x14ac:dyDescent="0.3">
      <c r="A106" t="s">
        <v>118</v>
      </c>
      <c r="B106" s="3">
        <v>45641</v>
      </c>
      <c r="C106" t="s">
        <v>514</v>
      </c>
      <c r="D106" t="s">
        <v>530</v>
      </c>
      <c r="E106" t="s">
        <v>538</v>
      </c>
      <c r="F106">
        <v>67</v>
      </c>
      <c r="G106">
        <v>58</v>
      </c>
      <c r="H106">
        <v>111</v>
      </c>
      <c r="I106">
        <v>6438</v>
      </c>
      <c r="J106">
        <v>0.22</v>
      </c>
      <c r="K106">
        <v>1416.36</v>
      </c>
      <c r="L106">
        <v>7854.36</v>
      </c>
      <c r="M106" t="s">
        <v>543</v>
      </c>
      <c r="N106" t="s">
        <v>551</v>
      </c>
    </row>
    <row r="107" spans="1:14" x14ac:dyDescent="0.3">
      <c r="A107" t="s">
        <v>119</v>
      </c>
      <c r="B107" s="3">
        <v>45762</v>
      </c>
      <c r="C107" t="s">
        <v>521</v>
      </c>
      <c r="D107" t="s">
        <v>530</v>
      </c>
      <c r="E107" t="s">
        <v>534</v>
      </c>
      <c r="F107">
        <v>11</v>
      </c>
      <c r="G107">
        <v>12</v>
      </c>
      <c r="H107">
        <v>98</v>
      </c>
      <c r="I107">
        <v>1176</v>
      </c>
      <c r="J107">
        <v>0.22</v>
      </c>
      <c r="K107">
        <v>258.72000000000003</v>
      </c>
      <c r="L107">
        <v>1434.72</v>
      </c>
      <c r="M107" t="s">
        <v>541</v>
      </c>
      <c r="N107" t="s">
        <v>548</v>
      </c>
    </row>
    <row r="108" spans="1:14" x14ac:dyDescent="0.3">
      <c r="A108" t="s">
        <v>120</v>
      </c>
      <c r="B108" s="3">
        <v>45787</v>
      </c>
      <c r="C108" t="s">
        <v>517</v>
      </c>
      <c r="D108" t="s">
        <v>530</v>
      </c>
      <c r="E108" t="s">
        <v>538</v>
      </c>
      <c r="F108">
        <v>2</v>
      </c>
      <c r="G108">
        <v>2</v>
      </c>
      <c r="H108">
        <v>190</v>
      </c>
      <c r="I108">
        <v>380</v>
      </c>
      <c r="J108">
        <v>0.22</v>
      </c>
      <c r="K108">
        <v>83.6</v>
      </c>
      <c r="L108">
        <v>463.6</v>
      </c>
      <c r="M108" t="s">
        <v>543</v>
      </c>
      <c r="N108" t="s">
        <v>551</v>
      </c>
    </row>
    <row r="109" spans="1:14" x14ac:dyDescent="0.3">
      <c r="A109" t="s">
        <v>121</v>
      </c>
      <c r="B109" s="3">
        <v>45543</v>
      </c>
      <c r="C109" t="s">
        <v>520</v>
      </c>
      <c r="D109" t="s">
        <v>523</v>
      </c>
      <c r="E109" t="s">
        <v>540</v>
      </c>
      <c r="F109">
        <v>62</v>
      </c>
      <c r="G109">
        <v>56</v>
      </c>
      <c r="H109">
        <v>140</v>
      </c>
      <c r="I109">
        <v>7840</v>
      </c>
      <c r="J109">
        <v>0.22</v>
      </c>
      <c r="K109">
        <v>1724.8</v>
      </c>
      <c r="L109">
        <v>9564.7999999999993</v>
      </c>
      <c r="M109" t="s">
        <v>543</v>
      </c>
      <c r="N109" t="s">
        <v>553</v>
      </c>
    </row>
    <row r="110" spans="1:14" x14ac:dyDescent="0.3">
      <c r="A110" t="s">
        <v>122</v>
      </c>
      <c r="B110" s="3">
        <v>45680</v>
      </c>
      <c r="C110" t="s">
        <v>518</v>
      </c>
      <c r="D110" t="s">
        <v>524</v>
      </c>
      <c r="E110" t="s">
        <v>540</v>
      </c>
      <c r="F110">
        <v>53</v>
      </c>
      <c r="G110">
        <v>59</v>
      </c>
      <c r="H110">
        <v>172</v>
      </c>
      <c r="I110">
        <v>10148</v>
      </c>
      <c r="J110">
        <v>0.1</v>
      </c>
      <c r="K110">
        <v>1014.8</v>
      </c>
      <c r="L110">
        <v>11162.8</v>
      </c>
      <c r="M110" t="s">
        <v>542</v>
      </c>
      <c r="N110" t="s">
        <v>552</v>
      </c>
    </row>
    <row r="111" spans="1:14" x14ac:dyDescent="0.3">
      <c r="A111" t="s">
        <v>123</v>
      </c>
      <c r="B111" s="3">
        <v>45509</v>
      </c>
      <c r="C111" t="s">
        <v>518</v>
      </c>
      <c r="D111" t="s">
        <v>523</v>
      </c>
      <c r="E111" t="s">
        <v>537</v>
      </c>
      <c r="F111">
        <v>2</v>
      </c>
      <c r="G111">
        <v>2</v>
      </c>
      <c r="H111">
        <v>189</v>
      </c>
      <c r="I111">
        <v>378</v>
      </c>
      <c r="J111">
        <v>0.22</v>
      </c>
      <c r="K111">
        <v>83.16</v>
      </c>
      <c r="L111">
        <v>461.16</v>
      </c>
      <c r="M111" t="s">
        <v>541</v>
      </c>
      <c r="N111" t="s">
        <v>548</v>
      </c>
    </row>
    <row r="112" spans="1:14" x14ac:dyDescent="0.3">
      <c r="A112" t="s">
        <v>124</v>
      </c>
      <c r="B112" s="3">
        <v>45302</v>
      </c>
      <c r="C112" t="s">
        <v>516</v>
      </c>
      <c r="D112" t="s">
        <v>525</v>
      </c>
      <c r="E112" t="s">
        <v>535</v>
      </c>
      <c r="F112">
        <v>49</v>
      </c>
      <c r="G112">
        <v>54</v>
      </c>
      <c r="H112">
        <v>146</v>
      </c>
      <c r="I112">
        <v>7884</v>
      </c>
      <c r="J112">
        <v>0.22</v>
      </c>
      <c r="K112">
        <v>1734.48</v>
      </c>
      <c r="L112">
        <v>9618.48</v>
      </c>
      <c r="M112" t="s">
        <v>543</v>
      </c>
      <c r="N112" t="s">
        <v>552</v>
      </c>
    </row>
    <row r="113" spans="1:14" x14ac:dyDescent="0.3">
      <c r="A113" t="s">
        <v>125</v>
      </c>
      <c r="B113" s="3">
        <v>45538</v>
      </c>
      <c r="C113" t="s">
        <v>517</v>
      </c>
      <c r="D113" t="s">
        <v>529</v>
      </c>
      <c r="E113" t="s">
        <v>536</v>
      </c>
      <c r="F113">
        <v>1</v>
      </c>
      <c r="G113">
        <v>1</v>
      </c>
      <c r="H113">
        <v>206</v>
      </c>
      <c r="I113">
        <v>206</v>
      </c>
      <c r="J113">
        <v>0</v>
      </c>
      <c r="K113">
        <v>0</v>
      </c>
      <c r="L113">
        <v>206</v>
      </c>
      <c r="M113" t="s">
        <v>543</v>
      </c>
      <c r="N113" t="s">
        <v>552</v>
      </c>
    </row>
    <row r="114" spans="1:14" x14ac:dyDescent="0.3">
      <c r="A114" t="s">
        <v>126</v>
      </c>
      <c r="B114" s="3">
        <v>45309</v>
      </c>
      <c r="C114" t="s">
        <v>520</v>
      </c>
      <c r="D114" t="s">
        <v>523</v>
      </c>
      <c r="E114" t="s">
        <v>534</v>
      </c>
      <c r="F114">
        <v>2</v>
      </c>
      <c r="G114">
        <v>2</v>
      </c>
      <c r="H114">
        <v>112</v>
      </c>
      <c r="I114">
        <v>224</v>
      </c>
      <c r="J114">
        <v>0.22</v>
      </c>
      <c r="K114">
        <v>49.28</v>
      </c>
      <c r="L114">
        <v>273.27999999999997</v>
      </c>
      <c r="M114" t="s">
        <v>542</v>
      </c>
      <c r="N114" t="s">
        <v>548</v>
      </c>
    </row>
    <row r="115" spans="1:14" x14ac:dyDescent="0.3">
      <c r="A115" t="s">
        <v>127</v>
      </c>
      <c r="B115" s="3">
        <v>45669</v>
      </c>
      <c r="C115" t="s">
        <v>517</v>
      </c>
      <c r="D115" t="s">
        <v>528</v>
      </c>
      <c r="E115" t="s">
        <v>539</v>
      </c>
      <c r="F115">
        <v>49</v>
      </c>
      <c r="G115">
        <v>44</v>
      </c>
      <c r="H115">
        <v>277</v>
      </c>
      <c r="I115">
        <v>12188</v>
      </c>
      <c r="J115">
        <v>0.22</v>
      </c>
      <c r="K115">
        <v>2681.36</v>
      </c>
      <c r="L115">
        <v>14869.36</v>
      </c>
      <c r="M115" t="s">
        <v>541</v>
      </c>
      <c r="N115" t="s">
        <v>545</v>
      </c>
    </row>
    <row r="116" spans="1:14" x14ac:dyDescent="0.3">
      <c r="A116" t="s">
        <v>128</v>
      </c>
      <c r="B116" s="3">
        <v>45630</v>
      </c>
      <c r="C116" t="s">
        <v>518</v>
      </c>
      <c r="D116" t="s">
        <v>533</v>
      </c>
      <c r="E116" t="s">
        <v>537</v>
      </c>
      <c r="F116">
        <v>34</v>
      </c>
      <c r="G116">
        <v>32</v>
      </c>
      <c r="H116">
        <v>257</v>
      </c>
      <c r="I116">
        <v>8224</v>
      </c>
      <c r="J116">
        <v>0.22</v>
      </c>
      <c r="K116">
        <v>1809.28</v>
      </c>
      <c r="L116">
        <v>10033.280000000001</v>
      </c>
      <c r="M116" t="s">
        <v>542</v>
      </c>
      <c r="N116" t="s">
        <v>544</v>
      </c>
    </row>
    <row r="117" spans="1:14" x14ac:dyDescent="0.3">
      <c r="A117" t="s">
        <v>129</v>
      </c>
      <c r="B117" s="3">
        <v>45489</v>
      </c>
      <c r="C117" t="s">
        <v>518</v>
      </c>
      <c r="D117" t="s">
        <v>527</v>
      </c>
      <c r="E117" t="s">
        <v>536</v>
      </c>
      <c r="F117">
        <v>37</v>
      </c>
      <c r="G117">
        <v>32</v>
      </c>
      <c r="H117">
        <v>127</v>
      </c>
      <c r="I117">
        <v>4064</v>
      </c>
      <c r="J117">
        <v>0.22</v>
      </c>
      <c r="K117">
        <v>894.08</v>
      </c>
      <c r="L117">
        <v>4958.08</v>
      </c>
      <c r="M117" t="s">
        <v>541</v>
      </c>
      <c r="N117" t="s">
        <v>547</v>
      </c>
    </row>
    <row r="118" spans="1:14" x14ac:dyDescent="0.3">
      <c r="A118" t="s">
        <v>130</v>
      </c>
      <c r="B118" s="3">
        <v>45488</v>
      </c>
      <c r="C118" t="s">
        <v>519</v>
      </c>
      <c r="D118" t="s">
        <v>533</v>
      </c>
      <c r="E118" t="s">
        <v>537</v>
      </c>
      <c r="F118">
        <v>62</v>
      </c>
      <c r="G118">
        <v>55</v>
      </c>
      <c r="H118">
        <v>262</v>
      </c>
      <c r="I118">
        <v>14410</v>
      </c>
      <c r="J118">
        <v>0.22</v>
      </c>
      <c r="K118">
        <v>3170.2</v>
      </c>
      <c r="L118">
        <v>17580.2</v>
      </c>
      <c r="M118" t="s">
        <v>541</v>
      </c>
      <c r="N118" t="s">
        <v>553</v>
      </c>
    </row>
    <row r="119" spans="1:14" x14ac:dyDescent="0.3">
      <c r="A119" t="s">
        <v>131</v>
      </c>
      <c r="B119" s="3">
        <v>45581</v>
      </c>
      <c r="C119" t="s">
        <v>520</v>
      </c>
      <c r="D119" t="s">
        <v>525</v>
      </c>
      <c r="E119" t="s">
        <v>537</v>
      </c>
      <c r="F119">
        <v>49</v>
      </c>
      <c r="G119">
        <v>56</v>
      </c>
      <c r="H119">
        <v>182</v>
      </c>
      <c r="I119">
        <v>10192</v>
      </c>
      <c r="J119">
        <v>0.22</v>
      </c>
      <c r="K119">
        <v>2242.2399999999998</v>
      </c>
      <c r="L119">
        <v>12434.24</v>
      </c>
      <c r="M119" t="s">
        <v>542</v>
      </c>
      <c r="N119" t="s">
        <v>548</v>
      </c>
    </row>
    <row r="120" spans="1:14" x14ac:dyDescent="0.3">
      <c r="A120" t="s">
        <v>132</v>
      </c>
      <c r="B120" s="3">
        <v>45306</v>
      </c>
      <c r="C120" t="s">
        <v>516</v>
      </c>
      <c r="D120" t="s">
        <v>532</v>
      </c>
      <c r="E120" t="s">
        <v>537</v>
      </c>
      <c r="F120">
        <v>20</v>
      </c>
      <c r="G120">
        <v>17</v>
      </c>
      <c r="H120">
        <v>97</v>
      </c>
      <c r="I120">
        <v>1649</v>
      </c>
      <c r="J120">
        <v>0.22</v>
      </c>
      <c r="K120">
        <v>362.78</v>
      </c>
      <c r="L120">
        <v>2011.78</v>
      </c>
      <c r="M120" t="s">
        <v>542</v>
      </c>
      <c r="N120" t="s">
        <v>545</v>
      </c>
    </row>
    <row r="121" spans="1:14" x14ac:dyDescent="0.3">
      <c r="A121" t="s">
        <v>133</v>
      </c>
      <c r="B121" s="3">
        <v>45591</v>
      </c>
      <c r="C121" t="s">
        <v>521</v>
      </c>
      <c r="D121" t="s">
        <v>529</v>
      </c>
      <c r="E121" t="s">
        <v>538</v>
      </c>
      <c r="F121">
        <v>24</v>
      </c>
      <c r="G121">
        <v>24</v>
      </c>
      <c r="H121">
        <v>128</v>
      </c>
      <c r="I121">
        <v>3072</v>
      </c>
      <c r="J121">
        <v>0</v>
      </c>
      <c r="K121">
        <v>0</v>
      </c>
      <c r="L121">
        <v>3072</v>
      </c>
      <c r="M121" t="s">
        <v>543</v>
      </c>
      <c r="N121" t="s">
        <v>544</v>
      </c>
    </row>
    <row r="122" spans="1:14" x14ac:dyDescent="0.3">
      <c r="A122" t="s">
        <v>134</v>
      </c>
      <c r="B122" s="3">
        <v>45304</v>
      </c>
      <c r="C122" t="s">
        <v>522</v>
      </c>
      <c r="D122" t="s">
        <v>533</v>
      </c>
      <c r="E122" t="s">
        <v>540</v>
      </c>
      <c r="F122">
        <v>79</v>
      </c>
      <c r="G122">
        <v>70</v>
      </c>
      <c r="H122">
        <v>273</v>
      </c>
      <c r="I122">
        <v>19110</v>
      </c>
      <c r="J122">
        <v>0.22</v>
      </c>
      <c r="K122">
        <v>4204.2</v>
      </c>
      <c r="L122">
        <v>23314.2</v>
      </c>
      <c r="M122" t="s">
        <v>542</v>
      </c>
      <c r="N122" t="s">
        <v>550</v>
      </c>
    </row>
    <row r="123" spans="1:14" x14ac:dyDescent="0.3">
      <c r="A123" t="s">
        <v>135</v>
      </c>
      <c r="B123" s="3">
        <v>45550</v>
      </c>
      <c r="C123" t="s">
        <v>517</v>
      </c>
      <c r="D123" t="s">
        <v>527</v>
      </c>
      <c r="E123" t="s">
        <v>538</v>
      </c>
      <c r="F123">
        <v>13</v>
      </c>
      <c r="G123">
        <v>11</v>
      </c>
      <c r="H123">
        <v>299</v>
      </c>
      <c r="I123">
        <v>3289</v>
      </c>
      <c r="J123">
        <v>0.22</v>
      </c>
      <c r="K123">
        <v>723.58</v>
      </c>
      <c r="L123">
        <v>4012.58</v>
      </c>
      <c r="M123" t="s">
        <v>543</v>
      </c>
      <c r="N123" t="s">
        <v>544</v>
      </c>
    </row>
    <row r="124" spans="1:14" x14ac:dyDescent="0.3">
      <c r="A124" t="s">
        <v>136</v>
      </c>
      <c r="B124" s="3">
        <v>45346</v>
      </c>
      <c r="C124" t="s">
        <v>521</v>
      </c>
      <c r="D124" t="s">
        <v>532</v>
      </c>
      <c r="E124" t="s">
        <v>538</v>
      </c>
      <c r="F124">
        <v>15</v>
      </c>
      <c r="G124">
        <v>16</v>
      </c>
      <c r="H124">
        <v>156</v>
      </c>
      <c r="I124">
        <v>2496</v>
      </c>
      <c r="J124">
        <v>0.22</v>
      </c>
      <c r="K124">
        <v>549.12</v>
      </c>
      <c r="L124">
        <v>3045.12</v>
      </c>
      <c r="M124" t="s">
        <v>543</v>
      </c>
      <c r="N124" t="s">
        <v>544</v>
      </c>
    </row>
    <row r="125" spans="1:14" x14ac:dyDescent="0.3">
      <c r="A125" t="s">
        <v>137</v>
      </c>
      <c r="B125" s="3">
        <v>45546</v>
      </c>
      <c r="C125" t="s">
        <v>520</v>
      </c>
      <c r="D125" t="s">
        <v>528</v>
      </c>
      <c r="E125" t="s">
        <v>538</v>
      </c>
      <c r="F125">
        <v>62</v>
      </c>
      <c r="G125">
        <v>73</v>
      </c>
      <c r="H125">
        <v>183</v>
      </c>
      <c r="I125">
        <v>13359</v>
      </c>
      <c r="J125">
        <v>0.22</v>
      </c>
      <c r="K125">
        <v>2938.98</v>
      </c>
      <c r="L125">
        <v>16297.98</v>
      </c>
      <c r="M125" t="s">
        <v>541</v>
      </c>
      <c r="N125" t="s">
        <v>553</v>
      </c>
    </row>
    <row r="126" spans="1:14" x14ac:dyDescent="0.3">
      <c r="A126" t="s">
        <v>138</v>
      </c>
      <c r="B126" s="3">
        <v>45523</v>
      </c>
      <c r="C126" t="s">
        <v>516</v>
      </c>
      <c r="D126" t="s">
        <v>530</v>
      </c>
      <c r="E126" t="s">
        <v>540</v>
      </c>
      <c r="F126">
        <v>53</v>
      </c>
      <c r="G126">
        <v>59</v>
      </c>
      <c r="H126">
        <v>129</v>
      </c>
      <c r="I126">
        <v>7611</v>
      </c>
      <c r="J126">
        <v>0.1</v>
      </c>
      <c r="K126">
        <v>761.1</v>
      </c>
      <c r="L126">
        <v>8372.1</v>
      </c>
      <c r="M126" t="s">
        <v>543</v>
      </c>
      <c r="N126" t="s">
        <v>553</v>
      </c>
    </row>
    <row r="127" spans="1:14" x14ac:dyDescent="0.3">
      <c r="A127" t="s">
        <v>139</v>
      </c>
      <c r="B127" s="3">
        <v>45731</v>
      </c>
      <c r="C127" t="s">
        <v>522</v>
      </c>
      <c r="D127" t="s">
        <v>526</v>
      </c>
      <c r="E127" t="s">
        <v>539</v>
      </c>
      <c r="F127">
        <v>78</v>
      </c>
      <c r="G127">
        <v>80</v>
      </c>
      <c r="H127">
        <v>152</v>
      </c>
      <c r="I127">
        <v>12160</v>
      </c>
      <c r="J127">
        <v>0</v>
      </c>
      <c r="K127">
        <v>0</v>
      </c>
      <c r="L127">
        <v>12160</v>
      </c>
      <c r="M127" t="s">
        <v>542</v>
      </c>
      <c r="N127" t="s">
        <v>553</v>
      </c>
    </row>
    <row r="128" spans="1:14" x14ac:dyDescent="0.3">
      <c r="A128" t="s">
        <v>140</v>
      </c>
      <c r="B128" s="3">
        <v>45393</v>
      </c>
      <c r="C128" t="s">
        <v>519</v>
      </c>
      <c r="D128" t="s">
        <v>529</v>
      </c>
      <c r="E128" t="s">
        <v>534</v>
      </c>
      <c r="F128">
        <v>3</v>
      </c>
      <c r="G128">
        <v>3</v>
      </c>
      <c r="H128">
        <v>207</v>
      </c>
      <c r="I128">
        <v>621</v>
      </c>
      <c r="J128">
        <v>0</v>
      </c>
      <c r="K128">
        <v>0</v>
      </c>
      <c r="L128">
        <v>621</v>
      </c>
      <c r="M128" t="s">
        <v>543</v>
      </c>
      <c r="N128" t="s">
        <v>544</v>
      </c>
    </row>
    <row r="129" spans="1:14" x14ac:dyDescent="0.3">
      <c r="A129" t="s">
        <v>141</v>
      </c>
      <c r="B129" s="3">
        <v>45452</v>
      </c>
      <c r="C129" t="s">
        <v>519</v>
      </c>
      <c r="D129" t="s">
        <v>532</v>
      </c>
      <c r="E129" t="s">
        <v>539</v>
      </c>
      <c r="F129">
        <v>68</v>
      </c>
      <c r="G129">
        <v>59</v>
      </c>
      <c r="H129">
        <v>223</v>
      </c>
      <c r="I129">
        <v>13157</v>
      </c>
      <c r="J129">
        <v>0.22</v>
      </c>
      <c r="K129">
        <v>2894.54</v>
      </c>
      <c r="L129">
        <v>16051.54</v>
      </c>
      <c r="M129" t="s">
        <v>542</v>
      </c>
      <c r="N129" t="s">
        <v>546</v>
      </c>
    </row>
    <row r="130" spans="1:14" x14ac:dyDescent="0.3">
      <c r="A130" t="s">
        <v>142</v>
      </c>
      <c r="B130" s="3">
        <v>45753</v>
      </c>
      <c r="C130" t="s">
        <v>517</v>
      </c>
      <c r="D130" t="s">
        <v>523</v>
      </c>
      <c r="E130" t="s">
        <v>535</v>
      </c>
      <c r="F130">
        <v>15</v>
      </c>
      <c r="G130">
        <v>19</v>
      </c>
      <c r="H130">
        <v>149</v>
      </c>
      <c r="I130">
        <v>2831</v>
      </c>
      <c r="J130">
        <v>0.22</v>
      </c>
      <c r="K130">
        <v>622.82000000000005</v>
      </c>
      <c r="L130">
        <v>3453.82</v>
      </c>
      <c r="M130" t="s">
        <v>541</v>
      </c>
      <c r="N130" t="s">
        <v>548</v>
      </c>
    </row>
    <row r="131" spans="1:14" x14ac:dyDescent="0.3">
      <c r="A131" t="s">
        <v>143</v>
      </c>
      <c r="B131" s="3">
        <v>45756</v>
      </c>
      <c r="C131" t="s">
        <v>520</v>
      </c>
      <c r="D131" t="s">
        <v>529</v>
      </c>
      <c r="E131" t="s">
        <v>534</v>
      </c>
      <c r="F131">
        <v>67</v>
      </c>
      <c r="G131">
        <v>67</v>
      </c>
      <c r="H131">
        <v>206</v>
      </c>
      <c r="I131">
        <v>13802</v>
      </c>
      <c r="J131">
        <v>0</v>
      </c>
      <c r="K131">
        <v>0</v>
      </c>
      <c r="L131">
        <v>13802</v>
      </c>
      <c r="M131" t="s">
        <v>543</v>
      </c>
      <c r="N131" t="s">
        <v>553</v>
      </c>
    </row>
    <row r="132" spans="1:14" x14ac:dyDescent="0.3">
      <c r="A132" t="s">
        <v>144</v>
      </c>
      <c r="B132" s="3">
        <v>45494</v>
      </c>
      <c r="C132" t="s">
        <v>515</v>
      </c>
      <c r="D132" t="s">
        <v>527</v>
      </c>
      <c r="E132" t="s">
        <v>539</v>
      </c>
      <c r="F132">
        <v>19</v>
      </c>
      <c r="G132">
        <v>20</v>
      </c>
      <c r="H132">
        <v>155</v>
      </c>
      <c r="I132">
        <v>3100</v>
      </c>
      <c r="J132">
        <v>0.22</v>
      </c>
      <c r="K132">
        <v>682</v>
      </c>
      <c r="L132">
        <v>3782</v>
      </c>
      <c r="M132" t="s">
        <v>542</v>
      </c>
      <c r="N132" t="s">
        <v>548</v>
      </c>
    </row>
    <row r="133" spans="1:14" x14ac:dyDescent="0.3">
      <c r="A133" t="s">
        <v>145</v>
      </c>
      <c r="B133" s="3">
        <v>45437</v>
      </c>
      <c r="C133" t="s">
        <v>520</v>
      </c>
      <c r="D133" t="s">
        <v>524</v>
      </c>
      <c r="E133" t="s">
        <v>534</v>
      </c>
      <c r="F133">
        <v>63</v>
      </c>
      <c r="G133">
        <v>71</v>
      </c>
      <c r="H133">
        <v>111</v>
      </c>
      <c r="I133">
        <v>7881</v>
      </c>
      <c r="J133">
        <v>0.22</v>
      </c>
      <c r="K133">
        <v>1733.82</v>
      </c>
      <c r="L133">
        <v>9614.82</v>
      </c>
      <c r="M133" t="s">
        <v>541</v>
      </c>
      <c r="N133" t="s">
        <v>553</v>
      </c>
    </row>
    <row r="134" spans="1:14" x14ac:dyDescent="0.3">
      <c r="A134" t="s">
        <v>146</v>
      </c>
      <c r="B134" s="3">
        <v>45587</v>
      </c>
      <c r="C134" t="s">
        <v>517</v>
      </c>
      <c r="D134" t="s">
        <v>527</v>
      </c>
      <c r="E134" t="s">
        <v>540</v>
      </c>
      <c r="F134">
        <v>28</v>
      </c>
      <c r="G134">
        <v>33</v>
      </c>
      <c r="H134">
        <v>227</v>
      </c>
      <c r="I134">
        <v>7491</v>
      </c>
      <c r="J134">
        <v>0.22</v>
      </c>
      <c r="K134">
        <v>1648.02</v>
      </c>
      <c r="L134">
        <v>9139.02</v>
      </c>
      <c r="M134" t="s">
        <v>541</v>
      </c>
      <c r="N134" t="s">
        <v>546</v>
      </c>
    </row>
    <row r="135" spans="1:14" x14ac:dyDescent="0.3">
      <c r="A135" t="s">
        <v>147</v>
      </c>
      <c r="B135" s="3">
        <v>45570</v>
      </c>
      <c r="C135" t="s">
        <v>516</v>
      </c>
      <c r="D135" t="s">
        <v>528</v>
      </c>
      <c r="E135" t="s">
        <v>540</v>
      </c>
      <c r="F135">
        <v>36</v>
      </c>
      <c r="G135">
        <v>39</v>
      </c>
      <c r="H135">
        <v>141</v>
      </c>
      <c r="I135">
        <v>5499</v>
      </c>
      <c r="J135">
        <v>0.22</v>
      </c>
      <c r="K135">
        <v>1209.78</v>
      </c>
      <c r="L135">
        <v>6708.78</v>
      </c>
      <c r="M135" t="s">
        <v>541</v>
      </c>
      <c r="N135" t="s">
        <v>550</v>
      </c>
    </row>
    <row r="136" spans="1:14" x14ac:dyDescent="0.3">
      <c r="A136" t="s">
        <v>148</v>
      </c>
      <c r="B136" s="3">
        <v>45734</v>
      </c>
      <c r="C136" t="s">
        <v>518</v>
      </c>
      <c r="D136" t="s">
        <v>526</v>
      </c>
      <c r="E136" t="s">
        <v>537</v>
      </c>
      <c r="F136">
        <v>1</v>
      </c>
      <c r="G136">
        <v>1</v>
      </c>
      <c r="H136">
        <v>70</v>
      </c>
      <c r="I136">
        <v>70</v>
      </c>
      <c r="J136">
        <v>0</v>
      </c>
      <c r="K136">
        <v>0</v>
      </c>
      <c r="L136">
        <v>70</v>
      </c>
      <c r="M136" t="s">
        <v>542</v>
      </c>
      <c r="N136" t="s">
        <v>544</v>
      </c>
    </row>
    <row r="137" spans="1:14" x14ac:dyDescent="0.3">
      <c r="A137" t="s">
        <v>149</v>
      </c>
      <c r="B137" s="3">
        <v>45526</v>
      </c>
      <c r="C137" t="s">
        <v>514</v>
      </c>
      <c r="D137" t="s">
        <v>529</v>
      </c>
      <c r="E137" t="s">
        <v>538</v>
      </c>
      <c r="F137">
        <v>53</v>
      </c>
      <c r="G137">
        <v>57</v>
      </c>
      <c r="H137">
        <v>276</v>
      </c>
      <c r="I137">
        <v>15732</v>
      </c>
      <c r="J137">
        <v>0</v>
      </c>
      <c r="K137">
        <v>0</v>
      </c>
      <c r="L137">
        <v>15732</v>
      </c>
      <c r="M137" t="s">
        <v>543</v>
      </c>
      <c r="N137" t="s">
        <v>553</v>
      </c>
    </row>
    <row r="138" spans="1:14" x14ac:dyDescent="0.3">
      <c r="A138" t="s">
        <v>150</v>
      </c>
      <c r="B138" s="3">
        <v>45333</v>
      </c>
      <c r="C138" t="s">
        <v>521</v>
      </c>
      <c r="D138" t="s">
        <v>533</v>
      </c>
      <c r="E138" t="s">
        <v>539</v>
      </c>
      <c r="F138">
        <v>50</v>
      </c>
      <c r="G138">
        <v>50</v>
      </c>
      <c r="H138">
        <v>210</v>
      </c>
      <c r="I138">
        <v>10500</v>
      </c>
      <c r="J138">
        <v>0.22</v>
      </c>
      <c r="K138">
        <v>2310</v>
      </c>
      <c r="L138">
        <v>12810</v>
      </c>
      <c r="M138" t="s">
        <v>543</v>
      </c>
      <c r="N138" t="s">
        <v>547</v>
      </c>
    </row>
    <row r="139" spans="1:14" x14ac:dyDescent="0.3">
      <c r="A139" t="s">
        <v>151</v>
      </c>
      <c r="B139" s="3">
        <v>45738</v>
      </c>
      <c r="C139" t="s">
        <v>517</v>
      </c>
      <c r="D139" t="s">
        <v>527</v>
      </c>
      <c r="E139" t="s">
        <v>540</v>
      </c>
      <c r="F139">
        <v>34</v>
      </c>
      <c r="G139">
        <v>31</v>
      </c>
      <c r="H139">
        <v>281</v>
      </c>
      <c r="I139">
        <v>8711</v>
      </c>
      <c r="J139">
        <v>0.22</v>
      </c>
      <c r="K139">
        <v>1916.42</v>
      </c>
      <c r="L139">
        <v>10627.42</v>
      </c>
      <c r="M139" t="s">
        <v>543</v>
      </c>
      <c r="N139" t="s">
        <v>551</v>
      </c>
    </row>
    <row r="140" spans="1:14" x14ac:dyDescent="0.3">
      <c r="A140" t="s">
        <v>152</v>
      </c>
      <c r="B140" s="3">
        <v>45399</v>
      </c>
      <c r="C140" t="s">
        <v>521</v>
      </c>
      <c r="D140" t="s">
        <v>531</v>
      </c>
      <c r="E140" t="s">
        <v>540</v>
      </c>
      <c r="F140">
        <v>40</v>
      </c>
      <c r="G140">
        <v>42</v>
      </c>
      <c r="H140">
        <v>158</v>
      </c>
      <c r="I140">
        <v>6636</v>
      </c>
      <c r="J140">
        <v>0.22</v>
      </c>
      <c r="K140">
        <v>1459.92</v>
      </c>
      <c r="L140">
        <v>8095.92</v>
      </c>
      <c r="M140" t="s">
        <v>543</v>
      </c>
      <c r="N140" t="s">
        <v>546</v>
      </c>
    </row>
    <row r="141" spans="1:14" x14ac:dyDescent="0.3">
      <c r="A141" t="s">
        <v>153</v>
      </c>
      <c r="B141" s="3">
        <v>45329</v>
      </c>
      <c r="C141" t="s">
        <v>517</v>
      </c>
      <c r="D141" t="s">
        <v>527</v>
      </c>
      <c r="E141" t="s">
        <v>537</v>
      </c>
      <c r="F141">
        <v>8</v>
      </c>
      <c r="G141">
        <v>7</v>
      </c>
      <c r="H141">
        <v>203</v>
      </c>
      <c r="I141">
        <v>1421</v>
      </c>
      <c r="J141">
        <v>0.22</v>
      </c>
      <c r="K141">
        <v>312.62</v>
      </c>
      <c r="L141">
        <v>1733.62</v>
      </c>
      <c r="M141" t="s">
        <v>542</v>
      </c>
      <c r="N141" t="s">
        <v>546</v>
      </c>
    </row>
    <row r="142" spans="1:14" x14ac:dyDescent="0.3">
      <c r="A142" t="s">
        <v>154</v>
      </c>
      <c r="B142" s="3">
        <v>45818</v>
      </c>
      <c r="C142" t="s">
        <v>514</v>
      </c>
      <c r="D142" t="s">
        <v>529</v>
      </c>
      <c r="E142" t="s">
        <v>538</v>
      </c>
      <c r="F142">
        <v>71</v>
      </c>
      <c r="G142">
        <v>60</v>
      </c>
      <c r="H142">
        <v>172</v>
      </c>
      <c r="I142">
        <v>10320</v>
      </c>
      <c r="J142">
        <v>0</v>
      </c>
      <c r="K142">
        <v>0</v>
      </c>
      <c r="L142">
        <v>10320</v>
      </c>
      <c r="M142" t="s">
        <v>541</v>
      </c>
      <c r="N142" t="s">
        <v>552</v>
      </c>
    </row>
    <row r="143" spans="1:14" x14ac:dyDescent="0.3">
      <c r="A143" t="s">
        <v>155</v>
      </c>
      <c r="B143" s="3">
        <v>45715</v>
      </c>
      <c r="C143" t="s">
        <v>514</v>
      </c>
      <c r="D143" t="s">
        <v>525</v>
      </c>
      <c r="E143" t="s">
        <v>539</v>
      </c>
      <c r="F143">
        <v>2</v>
      </c>
      <c r="G143">
        <v>2</v>
      </c>
      <c r="H143">
        <v>188</v>
      </c>
      <c r="I143">
        <v>376</v>
      </c>
      <c r="J143">
        <v>0.22</v>
      </c>
      <c r="K143">
        <v>82.72</v>
      </c>
      <c r="L143">
        <v>458.72</v>
      </c>
      <c r="M143" t="s">
        <v>543</v>
      </c>
      <c r="N143" t="s">
        <v>552</v>
      </c>
    </row>
    <row r="144" spans="1:14" x14ac:dyDescent="0.3">
      <c r="A144" t="s">
        <v>156</v>
      </c>
      <c r="B144" s="3">
        <v>45344</v>
      </c>
      <c r="C144" t="s">
        <v>519</v>
      </c>
      <c r="D144" t="s">
        <v>523</v>
      </c>
      <c r="E144" t="s">
        <v>539</v>
      </c>
      <c r="F144">
        <v>48</v>
      </c>
      <c r="G144">
        <v>48</v>
      </c>
      <c r="H144">
        <v>199</v>
      </c>
      <c r="I144">
        <v>9552</v>
      </c>
      <c r="J144">
        <v>0.22</v>
      </c>
      <c r="K144">
        <v>2101.44</v>
      </c>
      <c r="L144">
        <v>11653.44</v>
      </c>
      <c r="M144" t="s">
        <v>543</v>
      </c>
      <c r="N144" t="s">
        <v>552</v>
      </c>
    </row>
    <row r="145" spans="1:14" x14ac:dyDescent="0.3">
      <c r="A145" t="s">
        <v>157</v>
      </c>
      <c r="B145" s="3">
        <v>45788</v>
      </c>
      <c r="C145" t="s">
        <v>520</v>
      </c>
      <c r="D145" t="s">
        <v>524</v>
      </c>
      <c r="E145" t="s">
        <v>536</v>
      </c>
      <c r="F145">
        <v>64</v>
      </c>
      <c r="G145">
        <v>69</v>
      </c>
      <c r="H145">
        <v>96</v>
      </c>
      <c r="I145">
        <v>6624</v>
      </c>
      <c r="J145">
        <v>0.22</v>
      </c>
      <c r="K145">
        <v>1457.28</v>
      </c>
      <c r="L145">
        <v>8081.28</v>
      </c>
      <c r="M145" t="s">
        <v>542</v>
      </c>
      <c r="N145" t="s">
        <v>547</v>
      </c>
    </row>
    <row r="146" spans="1:14" x14ac:dyDescent="0.3">
      <c r="A146" t="s">
        <v>158</v>
      </c>
      <c r="B146" s="3">
        <v>45610</v>
      </c>
      <c r="C146" t="s">
        <v>516</v>
      </c>
      <c r="D146" t="s">
        <v>524</v>
      </c>
      <c r="E146" t="s">
        <v>539</v>
      </c>
      <c r="F146">
        <v>29</v>
      </c>
      <c r="G146">
        <v>32</v>
      </c>
      <c r="H146">
        <v>68</v>
      </c>
      <c r="I146">
        <v>2176</v>
      </c>
      <c r="J146">
        <v>0.22</v>
      </c>
      <c r="K146">
        <v>478.72</v>
      </c>
      <c r="L146">
        <v>2654.72</v>
      </c>
      <c r="M146" t="s">
        <v>542</v>
      </c>
      <c r="N146" t="s">
        <v>544</v>
      </c>
    </row>
    <row r="147" spans="1:14" x14ac:dyDescent="0.3">
      <c r="A147" t="s">
        <v>159</v>
      </c>
      <c r="B147" s="3">
        <v>45764</v>
      </c>
      <c r="C147" t="s">
        <v>520</v>
      </c>
      <c r="D147" t="s">
        <v>529</v>
      </c>
      <c r="E147" t="s">
        <v>538</v>
      </c>
      <c r="F147">
        <v>15</v>
      </c>
      <c r="G147">
        <v>19</v>
      </c>
      <c r="H147">
        <v>107</v>
      </c>
      <c r="I147">
        <v>2033</v>
      </c>
      <c r="J147">
        <v>0</v>
      </c>
      <c r="K147">
        <v>0</v>
      </c>
      <c r="L147">
        <v>2033</v>
      </c>
      <c r="M147" t="s">
        <v>542</v>
      </c>
      <c r="N147" t="s">
        <v>552</v>
      </c>
    </row>
    <row r="148" spans="1:14" x14ac:dyDescent="0.3">
      <c r="A148" t="s">
        <v>160</v>
      </c>
      <c r="B148" s="3">
        <v>45590</v>
      </c>
      <c r="C148" t="s">
        <v>516</v>
      </c>
      <c r="D148" t="s">
        <v>523</v>
      </c>
      <c r="E148" t="s">
        <v>540</v>
      </c>
      <c r="F148">
        <v>84</v>
      </c>
      <c r="G148">
        <v>80</v>
      </c>
      <c r="H148">
        <v>190</v>
      </c>
      <c r="I148">
        <v>15200</v>
      </c>
      <c r="J148">
        <v>0.22</v>
      </c>
      <c r="K148">
        <v>3344</v>
      </c>
      <c r="L148">
        <v>18544</v>
      </c>
      <c r="M148" t="s">
        <v>543</v>
      </c>
      <c r="N148" t="s">
        <v>549</v>
      </c>
    </row>
    <row r="149" spans="1:14" x14ac:dyDescent="0.3">
      <c r="A149" t="s">
        <v>161</v>
      </c>
      <c r="B149" s="3">
        <v>45759</v>
      </c>
      <c r="C149" t="s">
        <v>516</v>
      </c>
      <c r="D149" t="s">
        <v>532</v>
      </c>
      <c r="E149" t="s">
        <v>540</v>
      </c>
      <c r="F149">
        <v>20</v>
      </c>
      <c r="G149">
        <v>20</v>
      </c>
      <c r="H149">
        <v>211</v>
      </c>
      <c r="I149">
        <v>4220</v>
      </c>
      <c r="J149">
        <v>0.22</v>
      </c>
      <c r="K149">
        <v>928.4</v>
      </c>
      <c r="L149">
        <v>5148.3999999999996</v>
      </c>
      <c r="M149" t="s">
        <v>541</v>
      </c>
      <c r="N149" t="s">
        <v>545</v>
      </c>
    </row>
    <row r="150" spans="1:14" x14ac:dyDescent="0.3">
      <c r="A150" t="s">
        <v>162</v>
      </c>
      <c r="B150" s="3">
        <v>45431</v>
      </c>
      <c r="C150" t="s">
        <v>520</v>
      </c>
      <c r="D150" t="s">
        <v>523</v>
      </c>
      <c r="E150" t="s">
        <v>538</v>
      </c>
      <c r="F150">
        <v>44</v>
      </c>
      <c r="G150">
        <v>54</v>
      </c>
      <c r="H150">
        <v>179</v>
      </c>
      <c r="I150">
        <v>9666</v>
      </c>
      <c r="J150">
        <v>0.22</v>
      </c>
      <c r="K150">
        <v>2126.52</v>
      </c>
      <c r="L150">
        <v>11792.52</v>
      </c>
      <c r="M150" t="s">
        <v>543</v>
      </c>
      <c r="N150" t="s">
        <v>551</v>
      </c>
    </row>
    <row r="151" spans="1:14" x14ac:dyDescent="0.3">
      <c r="A151" t="s">
        <v>163</v>
      </c>
      <c r="B151" s="3">
        <v>45811</v>
      </c>
      <c r="C151" t="s">
        <v>522</v>
      </c>
      <c r="D151" t="s">
        <v>524</v>
      </c>
      <c r="E151" t="s">
        <v>537</v>
      </c>
      <c r="F151">
        <v>30</v>
      </c>
      <c r="G151">
        <v>33</v>
      </c>
      <c r="H151">
        <v>211</v>
      </c>
      <c r="I151">
        <v>6963</v>
      </c>
      <c r="J151">
        <v>0.22</v>
      </c>
      <c r="K151">
        <v>1531.86</v>
      </c>
      <c r="L151">
        <v>8494.86</v>
      </c>
      <c r="M151" t="s">
        <v>541</v>
      </c>
      <c r="N151" t="s">
        <v>553</v>
      </c>
    </row>
    <row r="152" spans="1:14" x14ac:dyDescent="0.3">
      <c r="A152" t="s">
        <v>164</v>
      </c>
      <c r="B152" s="3">
        <v>45793</v>
      </c>
      <c r="C152" t="s">
        <v>521</v>
      </c>
      <c r="D152" t="s">
        <v>533</v>
      </c>
      <c r="E152" t="s">
        <v>539</v>
      </c>
      <c r="F152">
        <v>87</v>
      </c>
      <c r="G152">
        <v>75</v>
      </c>
      <c r="H152">
        <v>172</v>
      </c>
      <c r="I152">
        <v>12900</v>
      </c>
      <c r="J152">
        <v>0.22</v>
      </c>
      <c r="K152">
        <v>2838</v>
      </c>
      <c r="L152">
        <v>15738</v>
      </c>
      <c r="M152" t="s">
        <v>543</v>
      </c>
      <c r="N152" t="s">
        <v>545</v>
      </c>
    </row>
    <row r="153" spans="1:14" x14ac:dyDescent="0.3">
      <c r="A153" t="s">
        <v>165</v>
      </c>
      <c r="B153" s="3">
        <v>45678</v>
      </c>
      <c r="C153" t="s">
        <v>517</v>
      </c>
      <c r="D153" t="s">
        <v>531</v>
      </c>
      <c r="E153" t="s">
        <v>538</v>
      </c>
      <c r="F153">
        <v>64</v>
      </c>
      <c r="G153">
        <v>72</v>
      </c>
      <c r="H153">
        <v>223</v>
      </c>
      <c r="I153">
        <v>16056</v>
      </c>
      <c r="J153">
        <v>0.22</v>
      </c>
      <c r="K153">
        <v>3532.32</v>
      </c>
      <c r="L153">
        <v>19588.32</v>
      </c>
      <c r="M153" t="s">
        <v>541</v>
      </c>
      <c r="N153" t="s">
        <v>549</v>
      </c>
    </row>
    <row r="154" spans="1:14" x14ac:dyDescent="0.3">
      <c r="A154" t="s">
        <v>166</v>
      </c>
      <c r="B154" s="3">
        <v>45684</v>
      </c>
      <c r="C154" t="s">
        <v>519</v>
      </c>
      <c r="D154" t="s">
        <v>530</v>
      </c>
      <c r="E154" t="s">
        <v>535</v>
      </c>
      <c r="F154">
        <v>33</v>
      </c>
      <c r="G154">
        <v>38</v>
      </c>
      <c r="H154">
        <v>163</v>
      </c>
      <c r="I154">
        <v>6194</v>
      </c>
      <c r="J154">
        <v>0.22</v>
      </c>
      <c r="K154">
        <v>1362.68</v>
      </c>
      <c r="L154">
        <v>7556.68</v>
      </c>
      <c r="M154" t="s">
        <v>543</v>
      </c>
      <c r="N154" t="s">
        <v>546</v>
      </c>
    </row>
    <row r="155" spans="1:14" x14ac:dyDescent="0.3">
      <c r="A155" t="s">
        <v>167</v>
      </c>
      <c r="B155" s="3">
        <v>45687</v>
      </c>
      <c r="C155" t="s">
        <v>521</v>
      </c>
      <c r="D155" t="s">
        <v>533</v>
      </c>
      <c r="E155" t="s">
        <v>535</v>
      </c>
      <c r="F155">
        <v>25</v>
      </c>
      <c r="G155">
        <v>25</v>
      </c>
      <c r="H155">
        <v>152</v>
      </c>
      <c r="I155">
        <v>3800</v>
      </c>
      <c r="J155">
        <v>0.22</v>
      </c>
      <c r="K155">
        <v>836</v>
      </c>
      <c r="L155">
        <v>4636</v>
      </c>
      <c r="M155" t="s">
        <v>541</v>
      </c>
      <c r="N155" t="s">
        <v>551</v>
      </c>
    </row>
    <row r="156" spans="1:14" x14ac:dyDescent="0.3">
      <c r="A156" t="s">
        <v>168</v>
      </c>
      <c r="B156" s="3">
        <v>45394</v>
      </c>
      <c r="C156" t="s">
        <v>517</v>
      </c>
      <c r="D156" t="s">
        <v>527</v>
      </c>
      <c r="E156" t="s">
        <v>539</v>
      </c>
      <c r="F156">
        <v>21</v>
      </c>
      <c r="G156">
        <v>18</v>
      </c>
      <c r="H156">
        <v>187</v>
      </c>
      <c r="I156">
        <v>3366</v>
      </c>
      <c r="J156">
        <v>0.1</v>
      </c>
      <c r="K156">
        <v>336.6</v>
      </c>
      <c r="L156">
        <v>3702.6</v>
      </c>
      <c r="M156" t="s">
        <v>542</v>
      </c>
      <c r="N156" t="s">
        <v>547</v>
      </c>
    </row>
    <row r="157" spans="1:14" x14ac:dyDescent="0.3">
      <c r="A157" t="s">
        <v>169</v>
      </c>
      <c r="B157" s="3">
        <v>45711</v>
      </c>
      <c r="C157" t="s">
        <v>521</v>
      </c>
      <c r="D157" t="s">
        <v>527</v>
      </c>
      <c r="E157" t="s">
        <v>540</v>
      </c>
      <c r="F157">
        <v>59</v>
      </c>
      <c r="G157">
        <v>66</v>
      </c>
      <c r="H157">
        <v>113</v>
      </c>
      <c r="I157">
        <v>7458</v>
      </c>
      <c r="J157">
        <v>0.22</v>
      </c>
      <c r="K157">
        <v>1640.76</v>
      </c>
      <c r="L157">
        <v>9098.76</v>
      </c>
      <c r="M157" t="s">
        <v>543</v>
      </c>
      <c r="N157" t="s">
        <v>551</v>
      </c>
    </row>
    <row r="158" spans="1:14" x14ac:dyDescent="0.3">
      <c r="A158" t="s">
        <v>170</v>
      </c>
      <c r="B158" s="3">
        <v>45699</v>
      </c>
      <c r="C158" t="s">
        <v>520</v>
      </c>
      <c r="D158" t="s">
        <v>531</v>
      </c>
      <c r="E158" t="s">
        <v>538</v>
      </c>
      <c r="F158">
        <v>37</v>
      </c>
      <c r="G158">
        <v>35</v>
      </c>
      <c r="H158">
        <v>267</v>
      </c>
      <c r="I158">
        <v>9345</v>
      </c>
      <c r="J158">
        <v>0.22</v>
      </c>
      <c r="K158">
        <v>2055.9</v>
      </c>
      <c r="L158">
        <v>11400.9</v>
      </c>
      <c r="M158" t="s">
        <v>541</v>
      </c>
      <c r="N158" t="s">
        <v>546</v>
      </c>
    </row>
    <row r="159" spans="1:14" x14ac:dyDescent="0.3">
      <c r="A159" t="s">
        <v>171</v>
      </c>
      <c r="B159" s="3">
        <v>45616</v>
      </c>
      <c r="C159" t="s">
        <v>517</v>
      </c>
      <c r="D159" t="s">
        <v>528</v>
      </c>
      <c r="E159" t="s">
        <v>535</v>
      </c>
      <c r="F159">
        <v>67</v>
      </c>
      <c r="G159">
        <v>61</v>
      </c>
      <c r="H159">
        <v>228</v>
      </c>
      <c r="I159">
        <v>13908</v>
      </c>
      <c r="J159">
        <v>0.22</v>
      </c>
      <c r="K159">
        <v>3059.76</v>
      </c>
      <c r="L159">
        <v>16967.759999999998</v>
      </c>
      <c r="M159" t="s">
        <v>542</v>
      </c>
      <c r="N159" t="s">
        <v>548</v>
      </c>
    </row>
    <row r="160" spans="1:14" x14ac:dyDescent="0.3">
      <c r="A160" t="s">
        <v>172</v>
      </c>
      <c r="B160" s="3">
        <v>45524</v>
      </c>
      <c r="C160" t="s">
        <v>520</v>
      </c>
      <c r="D160" t="s">
        <v>530</v>
      </c>
      <c r="E160" t="s">
        <v>535</v>
      </c>
      <c r="F160">
        <v>30</v>
      </c>
      <c r="G160">
        <v>33</v>
      </c>
      <c r="H160">
        <v>127</v>
      </c>
      <c r="I160">
        <v>4191</v>
      </c>
      <c r="J160">
        <v>0.22</v>
      </c>
      <c r="K160">
        <v>922.02</v>
      </c>
      <c r="L160">
        <v>5113.0200000000004</v>
      </c>
      <c r="M160" t="s">
        <v>541</v>
      </c>
      <c r="N160" t="s">
        <v>544</v>
      </c>
    </row>
    <row r="161" spans="1:14" x14ac:dyDescent="0.3">
      <c r="A161" t="s">
        <v>173</v>
      </c>
      <c r="B161" s="3">
        <v>45746</v>
      </c>
      <c r="C161" t="s">
        <v>521</v>
      </c>
      <c r="D161" t="s">
        <v>523</v>
      </c>
      <c r="E161" t="s">
        <v>535</v>
      </c>
      <c r="F161">
        <v>36</v>
      </c>
      <c r="G161">
        <v>33</v>
      </c>
      <c r="H161">
        <v>201</v>
      </c>
      <c r="I161">
        <v>6633</v>
      </c>
      <c r="J161">
        <v>0.22</v>
      </c>
      <c r="K161">
        <v>1459.26</v>
      </c>
      <c r="L161">
        <v>8092.26</v>
      </c>
      <c r="M161" t="s">
        <v>542</v>
      </c>
      <c r="N161" t="s">
        <v>548</v>
      </c>
    </row>
    <row r="162" spans="1:14" x14ac:dyDescent="0.3">
      <c r="A162" t="s">
        <v>174</v>
      </c>
      <c r="B162" s="3">
        <v>45659</v>
      </c>
      <c r="C162" t="s">
        <v>518</v>
      </c>
      <c r="D162" t="s">
        <v>530</v>
      </c>
      <c r="E162" t="s">
        <v>534</v>
      </c>
      <c r="F162">
        <v>20</v>
      </c>
      <c r="G162">
        <v>21</v>
      </c>
      <c r="H162">
        <v>107</v>
      </c>
      <c r="I162">
        <v>2247</v>
      </c>
      <c r="J162">
        <v>0.22</v>
      </c>
      <c r="K162">
        <v>494.34</v>
      </c>
      <c r="L162">
        <v>2741.34</v>
      </c>
      <c r="M162" t="s">
        <v>543</v>
      </c>
      <c r="N162" t="s">
        <v>553</v>
      </c>
    </row>
    <row r="163" spans="1:14" x14ac:dyDescent="0.3">
      <c r="A163" t="s">
        <v>175</v>
      </c>
      <c r="B163" s="3">
        <v>45476</v>
      </c>
      <c r="C163" t="s">
        <v>521</v>
      </c>
      <c r="D163" t="s">
        <v>532</v>
      </c>
      <c r="E163" t="s">
        <v>535</v>
      </c>
      <c r="F163">
        <v>21</v>
      </c>
      <c r="G163">
        <v>20</v>
      </c>
      <c r="H163">
        <v>187</v>
      </c>
      <c r="I163">
        <v>3740</v>
      </c>
      <c r="J163">
        <v>0.22</v>
      </c>
      <c r="K163">
        <v>822.8</v>
      </c>
      <c r="L163">
        <v>4562.8</v>
      </c>
      <c r="M163" t="s">
        <v>543</v>
      </c>
      <c r="N163" t="s">
        <v>553</v>
      </c>
    </row>
    <row r="164" spans="1:14" x14ac:dyDescent="0.3">
      <c r="A164" t="s">
        <v>176</v>
      </c>
      <c r="B164" s="3">
        <v>45538</v>
      </c>
      <c r="C164" t="s">
        <v>517</v>
      </c>
      <c r="D164" t="s">
        <v>526</v>
      </c>
      <c r="E164" t="s">
        <v>534</v>
      </c>
      <c r="F164">
        <v>8</v>
      </c>
      <c r="G164">
        <v>8</v>
      </c>
      <c r="H164">
        <v>194</v>
      </c>
      <c r="I164">
        <v>1552</v>
      </c>
      <c r="J164">
        <v>0</v>
      </c>
      <c r="K164">
        <v>0</v>
      </c>
      <c r="L164">
        <v>1552</v>
      </c>
      <c r="M164" t="s">
        <v>542</v>
      </c>
      <c r="N164" t="s">
        <v>552</v>
      </c>
    </row>
    <row r="165" spans="1:14" x14ac:dyDescent="0.3">
      <c r="A165" t="s">
        <v>177</v>
      </c>
      <c r="B165" s="3">
        <v>45552</v>
      </c>
      <c r="C165" t="s">
        <v>517</v>
      </c>
      <c r="D165" t="s">
        <v>523</v>
      </c>
      <c r="E165" t="s">
        <v>536</v>
      </c>
      <c r="F165">
        <v>68</v>
      </c>
      <c r="G165">
        <v>67</v>
      </c>
      <c r="H165">
        <v>204</v>
      </c>
      <c r="I165">
        <v>13668</v>
      </c>
      <c r="J165">
        <v>0.22</v>
      </c>
      <c r="K165">
        <v>3006.96</v>
      </c>
      <c r="L165">
        <v>16674.96</v>
      </c>
      <c r="M165" t="s">
        <v>543</v>
      </c>
      <c r="N165" t="s">
        <v>548</v>
      </c>
    </row>
    <row r="166" spans="1:14" x14ac:dyDescent="0.3">
      <c r="A166" t="s">
        <v>178</v>
      </c>
      <c r="B166" s="3">
        <v>45453</v>
      </c>
      <c r="C166" t="s">
        <v>520</v>
      </c>
      <c r="D166" t="s">
        <v>533</v>
      </c>
      <c r="E166" t="s">
        <v>537</v>
      </c>
      <c r="F166">
        <v>28</v>
      </c>
      <c r="G166">
        <v>33</v>
      </c>
      <c r="H166">
        <v>235</v>
      </c>
      <c r="I166">
        <v>7755</v>
      </c>
      <c r="J166">
        <v>0.1</v>
      </c>
      <c r="K166">
        <v>775.5</v>
      </c>
      <c r="L166">
        <v>8530.5</v>
      </c>
      <c r="M166" t="s">
        <v>543</v>
      </c>
      <c r="N166" t="s">
        <v>546</v>
      </c>
    </row>
    <row r="167" spans="1:14" x14ac:dyDescent="0.3">
      <c r="A167" t="s">
        <v>179</v>
      </c>
      <c r="B167" s="3">
        <v>45548</v>
      </c>
      <c r="C167" t="s">
        <v>517</v>
      </c>
      <c r="D167" t="s">
        <v>523</v>
      </c>
      <c r="E167" t="s">
        <v>534</v>
      </c>
      <c r="F167">
        <v>86</v>
      </c>
      <c r="G167">
        <v>76</v>
      </c>
      <c r="H167">
        <v>246</v>
      </c>
      <c r="I167">
        <v>18696</v>
      </c>
      <c r="J167">
        <v>0.1</v>
      </c>
      <c r="K167">
        <v>1869.6</v>
      </c>
      <c r="L167">
        <v>20565.599999999999</v>
      </c>
      <c r="M167" t="s">
        <v>543</v>
      </c>
      <c r="N167" t="s">
        <v>544</v>
      </c>
    </row>
    <row r="168" spans="1:14" x14ac:dyDescent="0.3">
      <c r="A168" t="s">
        <v>180</v>
      </c>
      <c r="B168" s="3">
        <v>45534</v>
      </c>
      <c r="C168" t="s">
        <v>515</v>
      </c>
      <c r="D168" t="s">
        <v>526</v>
      </c>
      <c r="E168" t="s">
        <v>537</v>
      </c>
      <c r="F168">
        <v>20</v>
      </c>
      <c r="G168">
        <v>22</v>
      </c>
      <c r="H168">
        <v>297</v>
      </c>
      <c r="I168">
        <v>6534</v>
      </c>
      <c r="J168">
        <v>0</v>
      </c>
      <c r="K168">
        <v>0</v>
      </c>
      <c r="L168">
        <v>6534</v>
      </c>
      <c r="M168" t="s">
        <v>541</v>
      </c>
      <c r="N168" t="s">
        <v>548</v>
      </c>
    </row>
    <row r="169" spans="1:14" x14ac:dyDescent="0.3">
      <c r="A169" t="s">
        <v>181</v>
      </c>
      <c r="B169" s="3">
        <v>45594</v>
      </c>
      <c r="C169" t="s">
        <v>514</v>
      </c>
      <c r="D169" t="s">
        <v>529</v>
      </c>
      <c r="E169" t="s">
        <v>540</v>
      </c>
      <c r="F169">
        <v>26</v>
      </c>
      <c r="G169">
        <v>30</v>
      </c>
      <c r="H169">
        <v>97</v>
      </c>
      <c r="I169">
        <v>2910</v>
      </c>
      <c r="J169">
        <v>0</v>
      </c>
      <c r="K169">
        <v>0</v>
      </c>
      <c r="L169">
        <v>2910</v>
      </c>
      <c r="M169" t="s">
        <v>543</v>
      </c>
      <c r="N169" t="s">
        <v>550</v>
      </c>
    </row>
    <row r="170" spans="1:14" x14ac:dyDescent="0.3">
      <c r="A170" t="s">
        <v>182</v>
      </c>
      <c r="B170" s="3">
        <v>45342</v>
      </c>
      <c r="C170" t="s">
        <v>517</v>
      </c>
      <c r="D170" t="s">
        <v>523</v>
      </c>
      <c r="E170" t="s">
        <v>538</v>
      </c>
      <c r="F170">
        <v>42</v>
      </c>
      <c r="G170">
        <v>51</v>
      </c>
      <c r="H170">
        <v>241</v>
      </c>
      <c r="I170">
        <v>12291</v>
      </c>
      <c r="J170">
        <v>0.22</v>
      </c>
      <c r="K170">
        <v>2704.02</v>
      </c>
      <c r="L170">
        <v>14995.02</v>
      </c>
      <c r="M170" t="s">
        <v>541</v>
      </c>
      <c r="N170" t="s">
        <v>551</v>
      </c>
    </row>
    <row r="171" spans="1:14" x14ac:dyDescent="0.3">
      <c r="A171" t="s">
        <v>183</v>
      </c>
      <c r="B171" s="3">
        <v>45516</v>
      </c>
      <c r="C171" t="s">
        <v>519</v>
      </c>
      <c r="D171" t="s">
        <v>526</v>
      </c>
      <c r="E171" t="s">
        <v>537</v>
      </c>
      <c r="F171">
        <v>8</v>
      </c>
      <c r="G171">
        <v>8</v>
      </c>
      <c r="H171">
        <v>86</v>
      </c>
      <c r="I171">
        <v>688</v>
      </c>
      <c r="J171">
        <v>0</v>
      </c>
      <c r="K171">
        <v>0</v>
      </c>
      <c r="L171">
        <v>688</v>
      </c>
      <c r="M171" t="s">
        <v>541</v>
      </c>
      <c r="N171" t="s">
        <v>547</v>
      </c>
    </row>
    <row r="172" spans="1:14" x14ac:dyDescent="0.3">
      <c r="A172" t="s">
        <v>184</v>
      </c>
      <c r="B172" s="3">
        <v>45391</v>
      </c>
      <c r="C172" t="s">
        <v>514</v>
      </c>
      <c r="D172" t="s">
        <v>523</v>
      </c>
      <c r="E172" t="s">
        <v>538</v>
      </c>
      <c r="F172">
        <v>29</v>
      </c>
      <c r="G172">
        <v>27</v>
      </c>
      <c r="H172">
        <v>285</v>
      </c>
      <c r="I172">
        <v>7695</v>
      </c>
      <c r="J172">
        <v>0.22</v>
      </c>
      <c r="K172">
        <v>1692.9</v>
      </c>
      <c r="L172">
        <v>9387.9</v>
      </c>
      <c r="M172" t="s">
        <v>541</v>
      </c>
      <c r="N172" t="s">
        <v>551</v>
      </c>
    </row>
    <row r="173" spans="1:14" x14ac:dyDescent="0.3">
      <c r="A173" t="s">
        <v>185</v>
      </c>
      <c r="B173" s="3">
        <v>45426</v>
      </c>
      <c r="C173" t="s">
        <v>520</v>
      </c>
      <c r="D173" t="s">
        <v>523</v>
      </c>
      <c r="E173" t="s">
        <v>537</v>
      </c>
      <c r="F173">
        <v>17</v>
      </c>
      <c r="G173">
        <v>21</v>
      </c>
      <c r="H173">
        <v>89</v>
      </c>
      <c r="I173">
        <v>1869</v>
      </c>
      <c r="J173">
        <v>0.22</v>
      </c>
      <c r="K173">
        <v>411.18</v>
      </c>
      <c r="L173">
        <v>2280.1799999999998</v>
      </c>
      <c r="M173" t="s">
        <v>542</v>
      </c>
      <c r="N173" t="s">
        <v>549</v>
      </c>
    </row>
    <row r="174" spans="1:14" x14ac:dyDescent="0.3">
      <c r="A174" t="s">
        <v>186</v>
      </c>
      <c r="B174" s="3">
        <v>45427</v>
      </c>
      <c r="C174" t="s">
        <v>516</v>
      </c>
      <c r="D174" t="s">
        <v>531</v>
      </c>
      <c r="E174" t="s">
        <v>539</v>
      </c>
      <c r="F174">
        <v>28</v>
      </c>
      <c r="G174">
        <v>28</v>
      </c>
      <c r="H174">
        <v>170</v>
      </c>
      <c r="I174">
        <v>4760</v>
      </c>
      <c r="J174">
        <v>0.22</v>
      </c>
      <c r="K174">
        <v>1047.2</v>
      </c>
      <c r="L174">
        <v>5807.2</v>
      </c>
      <c r="M174" t="s">
        <v>543</v>
      </c>
      <c r="N174" t="s">
        <v>547</v>
      </c>
    </row>
    <row r="175" spans="1:14" x14ac:dyDescent="0.3">
      <c r="A175" t="s">
        <v>187</v>
      </c>
      <c r="B175" s="3">
        <v>45555</v>
      </c>
      <c r="C175" t="s">
        <v>517</v>
      </c>
      <c r="D175" t="s">
        <v>523</v>
      </c>
      <c r="E175" t="s">
        <v>536</v>
      </c>
      <c r="F175">
        <v>57</v>
      </c>
      <c r="G175">
        <v>64</v>
      </c>
      <c r="H175">
        <v>284</v>
      </c>
      <c r="I175">
        <v>18176</v>
      </c>
      <c r="J175">
        <v>0.1</v>
      </c>
      <c r="K175">
        <v>1817.6</v>
      </c>
      <c r="L175">
        <v>19993.599999999999</v>
      </c>
      <c r="M175" t="s">
        <v>542</v>
      </c>
      <c r="N175" t="s">
        <v>552</v>
      </c>
    </row>
    <row r="176" spans="1:14" x14ac:dyDescent="0.3">
      <c r="A176" t="s">
        <v>188</v>
      </c>
      <c r="B176" s="3">
        <v>45369</v>
      </c>
      <c r="C176" t="s">
        <v>521</v>
      </c>
      <c r="D176" t="s">
        <v>525</v>
      </c>
      <c r="E176" t="s">
        <v>538</v>
      </c>
      <c r="F176">
        <v>73</v>
      </c>
      <c r="G176">
        <v>69</v>
      </c>
      <c r="H176">
        <v>120</v>
      </c>
      <c r="I176">
        <v>8280</v>
      </c>
      <c r="J176">
        <v>0.22</v>
      </c>
      <c r="K176">
        <v>1821.6</v>
      </c>
      <c r="L176">
        <v>10101.6</v>
      </c>
      <c r="M176" t="s">
        <v>541</v>
      </c>
      <c r="N176" t="s">
        <v>546</v>
      </c>
    </row>
    <row r="177" spans="1:14" x14ac:dyDescent="0.3">
      <c r="A177" t="s">
        <v>189</v>
      </c>
      <c r="B177" s="3">
        <v>45666</v>
      </c>
      <c r="C177" t="s">
        <v>520</v>
      </c>
      <c r="D177" t="s">
        <v>530</v>
      </c>
      <c r="E177" t="s">
        <v>535</v>
      </c>
      <c r="F177">
        <v>42</v>
      </c>
      <c r="G177">
        <v>48</v>
      </c>
      <c r="H177">
        <v>206</v>
      </c>
      <c r="I177">
        <v>9888</v>
      </c>
      <c r="J177">
        <v>0.22</v>
      </c>
      <c r="K177">
        <v>2175.36</v>
      </c>
      <c r="L177">
        <v>12063.36</v>
      </c>
      <c r="M177" t="s">
        <v>542</v>
      </c>
      <c r="N177" t="s">
        <v>552</v>
      </c>
    </row>
    <row r="178" spans="1:14" x14ac:dyDescent="0.3">
      <c r="A178" t="s">
        <v>190</v>
      </c>
      <c r="B178" s="3">
        <v>45669</v>
      </c>
      <c r="C178" t="s">
        <v>522</v>
      </c>
      <c r="D178" t="s">
        <v>526</v>
      </c>
      <c r="E178" t="s">
        <v>540</v>
      </c>
      <c r="F178">
        <v>4</v>
      </c>
      <c r="G178">
        <v>4</v>
      </c>
      <c r="H178">
        <v>94</v>
      </c>
      <c r="I178">
        <v>376</v>
      </c>
      <c r="J178">
        <v>0</v>
      </c>
      <c r="K178">
        <v>0</v>
      </c>
      <c r="L178">
        <v>376</v>
      </c>
      <c r="M178" t="s">
        <v>541</v>
      </c>
      <c r="N178" t="s">
        <v>551</v>
      </c>
    </row>
    <row r="179" spans="1:14" x14ac:dyDescent="0.3">
      <c r="A179" t="s">
        <v>191</v>
      </c>
      <c r="B179" s="3">
        <v>45402</v>
      </c>
      <c r="C179" t="s">
        <v>519</v>
      </c>
      <c r="D179" t="s">
        <v>533</v>
      </c>
      <c r="E179" t="s">
        <v>535</v>
      </c>
      <c r="F179">
        <v>61</v>
      </c>
      <c r="G179">
        <v>64</v>
      </c>
      <c r="H179">
        <v>108</v>
      </c>
      <c r="I179">
        <v>6912</v>
      </c>
      <c r="J179">
        <v>0.22</v>
      </c>
      <c r="K179">
        <v>1520.64</v>
      </c>
      <c r="L179">
        <v>8432.64</v>
      </c>
      <c r="M179" t="s">
        <v>541</v>
      </c>
      <c r="N179" t="s">
        <v>551</v>
      </c>
    </row>
    <row r="180" spans="1:14" x14ac:dyDescent="0.3">
      <c r="A180" t="s">
        <v>192</v>
      </c>
      <c r="B180" s="3">
        <v>45518</v>
      </c>
      <c r="C180" t="s">
        <v>520</v>
      </c>
      <c r="D180" t="s">
        <v>529</v>
      </c>
      <c r="E180" t="s">
        <v>538</v>
      </c>
      <c r="F180">
        <v>20</v>
      </c>
      <c r="G180">
        <v>17</v>
      </c>
      <c r="H180">
        <v>231</v>
      </c>
      <c r="I180">
        <v>3927</v>
      </c>
      <c r="J180">
        <v>0</v>
      </c>
      <c r="K180">
        <v>0</v>
      </c>
      <c r="L180">
        <v>3927</v>
      </c>
      <c r="M180" t="s">
        <v>543</v>
      </c>
      <c r="N180" t="s">
        <v>548</v>
      </c>
    </row>
    <row r="181" spans="1:14" x14ac:dyDescent="0.3">
      <c r="A181" t="s">
        <v>193</v>
      </c>
      <c r="B181" s="3">
        <v>45710</v>
      </c>
      <c r="C181" t="s">
        <v>520</v>
      </c>
      <c r="D181" t="s">
        <v>532</v>
      </c>
      <c r="E181" t="s">
        <v>535</v>
      </c>
      <c r="F181">
        <v>26</v>
      </c>
      <c r="G181">
        <v>30</v>
      </c>
      <c r="H181">
        <v>280</v>
      </c>
      <c r="I181">
        <v>8400</v>
      </c>
      <c r="J181">
        <v>0.1</v>
      </c>
      <c r="K181">
        <v>840</v>
      </c>
      <c r="L181">
        <v>9240</v>
      </c>
      <c r="M181" t="s">
        <v>543</v>
      </c>
      <c r="N181" t="s">
        <v>552</v>
      </c>
    </row>
    <row r="182" spans="1:14" x14ac:dyDescent="0.3">
      <c r="A182" t="s">
        <v>194</v>
      </c>
      <c r="B182" s="3">
        <v>45410</v>
      </c>
      <c r="C182" t="s">
        <v>520</v>
      </c>
      <c r="D182" t="s">
        <v>525</v>
      </c>
      <c r="E182" t="s">
        <v>539</v>
      </c>
      <c r="F182">
        <v>43</v>
      </c>
      <c r="G182">
        <v>46</v>
      </c>
      <c r="H182">
        <v>176</v>
      </c>
      <c r="I182">
        <v>8096</v>
      </c>
      <c r="J182">
        <v>0.22</v>
      </c>
      <c r="K182">
        <v>1781.12</v>
      </c>
      <c r="L182">
        <v>9877.119999999999</v>
      </c>
      <c r="M182" t="s">
        <v>543</v>
      </c>
      <c r="N182" t="s">
        <v>551</v>
      </c>
    </row>
    <row r="183" spans="1:14" x14ac:dyDescent="0.3">
      <c r="A183" t="s">
        <v>195</v>
      </c>
      <c r="B183" s="3">
        <v>45721</v>
      </c>
      <c r="C183" t="s">
        <v>521</v>
      </c>
      <c r="D183" t="s">
        <v>530</v>
      </c>
      <c r="E183" t="s">
        <v>536</v>
      </c>
      <c r="F183">
        <v>5</v>
      </c>
      <c r="G183">
        <v>6</v>
      </c>
      <c r="H183">
        <v>158</v>
      </c>
      <c r="I183">
        <v>948</v>
      </c>
      <c r="J183">
        <v>0.22</v>
      </c>
      <c r="K183">
        <v>208.56</v>
      </c>
      <c r="L183">
        <v>1156.56</v>
      </c>
      <c r="M183" t="s">
        <v>543</v>
      </c>
      <c r="N183" t="s">
        <v>553</v>
      </c>
    </row>
    <row r="184" spans="1:14" x14ac:dyDescent="0.3">
      <c r="A184" t="s">
        <v>196</v>
      </c>
      <c r="B184" s="3">
        <v>45709</v>
      </c>
      <c r="C184" t="s">
        <v>522</v>
      </c>
      <c r="D184" t="s">
        <v>524</v>
      </c>
      <c r="E184" t="s">
        <v>536</v>
      </c>
      <c r="F184">
        <v>43</v>
      </c>
      <c r="G184">
        <v>37</v>
      </c>
      <c r="H184">
        <v>83</v>
      </c>
      <c r="I184">
        <v>3071</v>
      </c>
      <c r="J184">
        <v>0.22</v>
      </c>
      <c r="K184">
        <v>675.62</v>
      </c>
      <c r="L184">
        <v>3746.62</v>
      </c>
      <c r="M184" t="s">
        <v>543</v>
      </c>
      <c r="N184" t="s">
        <v>552</v>
      </c>
    </row>
    <row r="185" spans="1:14" x14ac:dyDescent="0.3">
      <c r="A185" t="s">
        <v>197</v>
      </c>
      <c r="B185" s="3">
        <v>45533</v>
      </c>
      <c r="C185" t="s">
        <v>518</v>
      </c>
      <c r="D185" t="s">
        <v>527</v>
      </c>
      <c r="E185" t="s">
        <v>536</v>
      </c>
      <c r="F185">
        <v>53</v>
      </c>
      <c r="G185">
        <v>46</v>
      </c>
      <c r="H185">
        <v>240</v>
      </c>
      <c r="I185">
        <v>11040</v>
      </c>
      <c r="J185">
        <v>0.22</v>
      </c>
      <c r="K185">
        <v>2428.8000000000002</v>
      </c>
      <c r="L185">
        <v>13468.8</v>
      </c>
      <c r="M185" t="s">
        <v>541</v>
      </c>
      <c r="N185" t="s">
        <v>551</v>
      </c>
    </row>
    <row r="186" spans="1:14" x14ac:dyDescent="0.3">
      <c r="A186" t="s">
        <v>198</v>
      </c>
      <c r="B186" s="3">
        <v>45354</v>
      </c>
      <c r="C186" t="s">
        <v>515</v>
      </c>
      <c r="D186" t="s">
        <v>523</v>
      </c>
      <c r="E186" t="s">
        <v>534</v>
      </c>
      <c r="F186">
        <v>54</v>
      </c>
      <c r="G186">
        <v>60</v>
      </c>
      <c r="H186">
        <v>284</v>
      </c>
      <c r="I186">
        <v>17040</v>
      </c>
      <c r="J186">
        <v>0.1</v>
      </c>
      <c r="K186">
        <v>1704</v>
      </c>
      <c r="L186">
        <v>18744</v>
      </c>
      <c r="M186" t="s">
        <v>543</v>
      </c>
      <c r="N186" t="s">
        <v>544</v>
      </c>
    </row>
    <row r="187" spans="1:14" x14ac:dyDescent="0.3">
      <c r="A187" t="s">
        <v>199</v>
      </c>
      <c r="B187" s="3">
        <v>45509</v>
      </c>
      <c r="C187" t="s">
        <v>514</v>
      </c>
      <c r="D187" t="s">
        <v>524</v>
      </c>
      <c r="E187" t="s">
        <v>538</v>
      </c>
      <c r="F187">
        <v>67</v>
      </c>
      <c r="G187">
        <v>63</v>
      </c>
      <c r="H187">
        <v>272</v>
      </c>
      <c r="I187">
        <v>17136</v>
      </c>
      <c r="J187">
        <v>0.22</v>
      </c>
      <c r="K187">
        <v>3769.92</v>
      </c>
      <c r="L187">
        <v>20905.919999999998</v>
      </c>
      <c r="M187" t="s">
        <v>542</v>
      </c>
      <c r="N187" t="s">
        <v>553</v>
      </c>
    </row>
    <row r="188" spans="1:14" x14ac:dyDescent="0.3">
      <c r="A188" t="s">
        <v>200</v>
      </c>
      <c r="B188" s="3">
        <v>45502</v>
      </c>
      <c r="C188" t="s">
        <v>520</v>
      </c>
      <c r="D188" t="s">
        <v>528</v>
      </c>
      <c r="E188" t="s">
        <v>534</v>
      </c>
      <c r="F188">
        <v>36</v>
      </c>
      <c r="G188">
        <v>32</v>
      </c>
      <c r="H188">
        <v>274</v>
      </c>
      <c r="I188">
        <v>8768</v>
      </c>
      <c r="J188">
        <v>0.22</v>
      </c>
      <c r="K188">
        <v>1928.96</v>
      </c>
      <c r="L188">
        <v>10696.96</v>
      </c>
      <c r="M188" t="s">
        <v>542</v>
      </c>
      <c r="N188" t="s">
        <v>551</v>
      </c>
    </row>
    <row r="189" spans="1:14" x14ac:dyDescent="0.3">
      <c r="A189" t="s">
        <v>201</v>
      </c>
      <c r="B189" s="3">
        <v>45443</v>
      </c>
      <c r="C189" t="s">
        <v>514</v>
      </c>
      <c r="D189" t="s">
        <v>523</v>
      </c>
      <c r="E189" t="s">
        <v>538</v>
      </c>
      <c r="F189">
        <v>34</v>
      </c>
      <c r="G189">
        <v>33</v>
      </c>
      <c r="H189">
        <v>126</v>
      </c>
      <c r="I189">
        <v>4158</v>
      </c>
      <c r="J189">
        <v>0.1</v>
      </c>
      <c r="K189">
        <v>415.8</v>
      </c>
      <c r="L189">
        <v>4573.8</v>
      </c>
      <c r="M189" t="s">
        <v>542</v>
      </c>
      <c r="N189" t="s">
        <v>545</v>
      </c>
    </row>
    <row r="190" spans="1:14" x14ac:dyDescent="0.3">
      <c r="A190" t="s">
        <v>202</v>
      </c>
      <c r="B190" s="3">
        <v>45548</v>
      </c>
      <c r="C190" t="s">
        <v>521</v>
      </c>
      <c r="D190" t="s">
        <v>527</v>
      </c>
      <c r="E190" t="s">
        <v>536</v>
      </c>
      <c r="F190">
        <v>18</v>
      </c>
      <c r="G190">
        <v>18</v>
      </c>
      <c r="H190">
        <v>84</v>
      </c>
      <c r="I190">
        <v>1512</v>
      </c>
      <c r="J190">
        <v>0.1</v>
      </c>
      <c r="K190">
        <v>151.19999999999999</v>
      </c>
      <c r="L190">
        <v>1663.2</v>
      </c>
      <c r="M190" t="s">
        <v>542</v>
      </c>
      <c r="N190" t="s">
        <v>550</v>
      </c>
    </row>
    <row r="191" spans="1:14" x14ac:dyDescent="0.3">
      <c r="A191" t="s">
        <v>203</v>
      </c>
      <c r="B191" s="3">
        <v>45658</v>
      </c>
      <c r="C191" t="s">
        <v>519</v>
      </c>
      <c r="D191" t="s">
        <v>526</v>
      </c>
      <c r="E191" t="s">
        <v>537</v>
      </c>
      <c r="F191">
        <v>48</v>
      </c>
      <c r="G191">
        <v>54</v>
      </c>
      <c r="H191">
        <v>117</v>
      </c>
      <c r="I191">
        <v>6318</v>
      </c>
      <c r="J191">
        <v>0</v>
      </c>
      <c r="K191">
        <v>0</v>
      </c>
      <c r="L191">
        <v>6318</v>
      </c>
      <c r="M191" t="s">
        <v>542</v>
      </c>
      <c r="N191" t="s">
        <v>547</v>
      </c>
    </row>
    <row r="192" spans="1:14" x14ac:dyDescent="0.3">
      <c r="A192" t="s">
        <v>204</v>
      </c>
      <c r="B192" s="3">
        <v>45563</v>
      </c>
      <c r="C192" t="s">
        <v>514</v>
      </c>
      <c r="D192" t="s">
        <v>532</v>
      </c>
      <c r="E192" t="s">
        <v>536</v>
      </c>
      <c r="F192">
        <v>56</v>
      </c>
      <c r="G192">
        <v>67</v>
      </c>
      <c r="H192">
        <v>163</v>
      </c>
      <c r="I192">
        <v>10921</v>
      </c>
      <c r="J192">
        <v>0.22</v>
      </c>
      <c r="K192">
        <v>2402.62</v>
      </c>
      <c r="L192">
        <v>13323.62</v>
      </c>
      <c r="M192" t="s">
        <v>542</v>
      </c>
      <c r="N192" t="s">
        <v>544</v>
      </c>
    </row>
    <row r="193" spans="1:14" x14ac:dyDescent="0.3">
      <c r="A193" t="s">
        <v>205</v>
      </c>
      <c r="B193" s="3">
        <v>45779</v>
      </c>
      <c r="C193" t="s">
        <v>517</v>
      </c>
      <c r="D193" t="s">
        <v>531</v>
      </c>
      <c r="E193" t="s">
        <v>539</v>
      </c>
      <c r="F193">
        <v>53</v>
      </c>
      <c r="G193">
        <v>46</v>
      </c>
      <c r="H193">
        <v>83</v>
      </c>
      <c r="I193">
        <v>3818</v>
      </c>
      <c r="J193">
        <v>0.22</v>
      </c>
      <c r="K193">
        <v>839.96</v>
      </c>
      <c r="L193">
        <v>4657.96</v>
      </c>
      <c r="M193" t="s">
        <v>543</v>
      </c>
      <c r="N193" t="s">
        <v>545</v>
      </c>
    </row>
    <row r="194" spans="1:14" x14ac:dyDescent="0.3">
      <c r="A194" t="s">
        <v>206</v>
      </c>
      <c r="B194" s="3">
        <v>45518</v>
      </c>
      <c r="C194" t="s">
        <v>514</v>
      </c>
      <c r="D194" t="s">
        <v>529</v>
      </c>
      <c r="E194" t="s">
        <v>539</v>
      </c>
      <c r="F194">
        <v>37</v>
      </c>
      <c r="G194">
        <v>32</v>
      </c>
      <c r="H194">
        <v>234</v>
      </c>
      <c r="I194">
        <v>7488</v>
      </c>
      <c r="J194">
        <v>0</v>
      </c>
      <c r="K194">
        <v>0</v>
      </c>
      <c r="L194">
        <v>7488</v>
      </c>
      <c r="M194" t="s">
        <v>543</v>
      </c>
      <c r="N194" t="s">
        <v>552</v>
      </c>
    </row>
    <row r="195" spans="1:14" x14ac:dyDescent="0.3">
      <c r="A195" t="s">
        <v>207</v>
      </c>
      <c r="B195" s="3">
        <v>45323</v>
      </c>
      <c r="C195" t="s">
        <v>514</v>
      </c>
      <c r="D195" t="s">
        <v>533</v>
      </c>
      <c r="E195" t="s">
        <v>538</v>
      </c>
      <c r="F195">
        <v>24</v>
      </c>
      <c r="G195">
        <v>23</v>
      </c>
      <c r="H195">
        <v>253</v>
      </c>
      <c r="I195">
        <v>5819</v>
      </c>
      <c r="J195">
        <v>0.22</v>
      </c>
      <c r="K195">
        <v>1280.18</v>
      </c>
      <c r="L195">
        <v>7099.18</v>
      </c>
      <c r="M195" t="s">
        <v>541</v>
      </c>
      <c r="N195" t="s">
        <v>544</v>
      </c>
    </row>
    <row r="196" spans="1:14" x14ac:dyDescent="0.3">
      <c r="A196" t="s">
        <v>208</v>
      </c>
      <c r="B196" s="3">
        <v>45794</v>
      </c>
      <c r="C196" t="s">
        <v>517</v>
      </c>
      <c r="D196" t="s">
        <v>527</v>
      </c>
      <c r="E196" t="s">
        <v>535</v>
      </c>
      <c r="F196">
        <v>25</v>
      </c>
      <c r="G196">
        <v>27</v>
      </c>
      <c r="H196">
        <v>293</v>
      </c>
      <c r="I196">
        <v>7911</v>
      </c>
      <c r="J196">
        <v>0.22</v>
      </c>
      <c r="K196">
        <v>1740.42</v>
      </c>
      <c r="L196">
        <v>9651.42</v>
      </c>
      <c r="M196" t="s">
        <v>542</v>
      </c>
      <c r="N196" t="s">
        <v>544</v>
      </c>
    </row>
    <row r="197" spans="1:14" x14ac:dyDescent="0.3">
      <c r="A197" t="s">
        <v>209</v>
      </c>
      <c r="B197" s="3">
        <v>45421</v>
      </c>
      <c r="C197" t="s">
        <v>522</v>
      </c>
      <c r="D197" t="s">
        <v>526</v>
      </c>
      <c r="E197" t="s">
        <v>536</v>
      </c>
      <c r="F197">
        <v>2</v>
      </c>
      <c r="G197">
        <v>2</v>
      </c>
      <c r="H197">
        <v>277</v>
      </c>
      <c r="I197">
        <v>554</v>
      </c>
      <c r="J197">
        <v>0</v>
      </c>
      <c r="K197">
        <v>0</v>
      </c>
      <c r="L197">
        <v>554</v>
      </c>
      <c r="M197" t="s">
        <v>541</v>
      </c>
      <c r="N197" t="s">
        <v>545</v>
      </c>
    </row>
    <row r="198" spans="1:14" x14ac:dyDescent="0.3">
      <c r="A198" t="s">
        <v>210</v>
      </c>
      <c r="B198" s="3">
        <v>45624</v>
      </c>
      <c r="C198" t="s">
        <v>515</v>
      </c>
      <c r="D198" t="s">
        <v>526</v>
      </c>
      <c r="E198" t="s">
        <v>539</v>
      </c>
      <c r="F198">
        <v>19</v>
      </c>
      <c r="G198">
        <v>17</v>
      </c>
      <c r="H198">
        <v>163</v>
      </c>
      <c r="I198">
        <v>2771</v>
      </c>
      <c r="J198">
        <v>0</v>
      </c>
      <c r="K198">
        <v>0</v>
      </c>
      <c r="L198">
        <v>2771</v>
      </c>
      <c r="M198" t="s">
        <v>543</v>
      </c>
      <c r="N198" t="s">
        <v>552</v>
      </c>
    </row>
    <row r="199" spans="1:14" x14ac:dyDescent="0.3">
      <c r="A199" t="s">
        <v>211</v>
      </c>
      <c r="B199" s="3">
        <v>45809</v>
      </c>
      <c r="C199" t="s">
        <v>515</v>
      </c>
      <c r="D199" t="s">
        <v>527</v>
      </c>
      <c r="E199" t="s">
        <v>538</v>
      </c>
      <c r="F199">
        <v>38</v>
      </c>
      <c r="G199">
        <v>33</v>
      </c>
      <c r="H199">
        <v>196</v>
      </c>
      <c r="I199">
        <v>6468</v>
      </c>
      <c r="J199">
        <v>0.22</v>
      </c>
      <c r="K199">
        <v>1422.96</v>
      </c>
      <c r="L199">
        <v>7890.96</v>
      </c>
      <c r="M199" t="s">
        <v>541</v>
      </c>
      <c r="N199" t="s">
        <v>545</v>
      </c>
    </row>
    <row r="200" spans="1:14" x14ac:dyDescent="0.3">
      <c r="A200" t="s">
        <v>212</v>
      </c>
      <c r="B200" s="3">
        <v>45512</v>
      </c>
      <c r="C200" t="s">
        <v>515</v>
      </c>
      <c r="D200" t="s">
        <v>533</v>
      </c>
      <c r="E200" t="s">
        <v>534</v>
      </c>
      <c r="F200">
        <v>50</v>
      </c>
      <c r="G200">
        <v>43</v>
      </c>
      <c r="H200">
        <v>235</v>
      </c>
      <c r="I200">
        <v>10105</v>
      </c>
      <c r="J200">
        <v>0.22</v>
      </c>
      <c r="K200">
        <v>2223.1</v>
      </c>
      <c r="L200">
        <v>12328.1</v>
      </c>
      <c r="M200" t="s">
        <v>543</v>
      </c>
      <c r="N200" t="s">
        <v>546</v>
      </c>
    </row>
    <row r="201" spans="1:14" x14ac:dyDescent="0.3">
      <c r="A201" t="s">
        <v>213</v>
      </c>
      <c r="B201" s="3">
        <v>45717</v>
      </c>
      <c r="C201" t="s">
        <v>520</v>
      </c>
      <c r="D201" t="s">
        <v>531</v>
      </c>
      <c r="E201" t="s">
        <v>540</v>
      </c>
      <c r="F201">
        <v>43</v>
      </c>
      <c r="G201">
        <v>39</v>
      </c>
      <c r="H201">
        <v>280</v>
      </c>
      <c r="I201">
        <v>10920</v>
      </c>
      <c r="J201">
        <v>0.22</v>
      </c>
      <c r="K201">
        <v>2402.4</v>
      </c>
      <c r="L201">
        <v>13322.4</v>
      </c>
      <c r="M201" t="s">
        <v>543</v>
      </c>
      <c r="N201" t="s">
        <v>551</v>
      </c>
    </row>
    <row r="202" spans="1:14" x14ac:dyDescent="0.3">
      <c r="A202" t="s">
        <v>214</v>
      </c>
      <c r="B202" s="3">
        <v>45448</v>
      </c>
      <c r="C202" t="s">
        <v>517</v>
      </c>
      <c r="D202" t="s">
        <v>527</v>
      </c>
      <c r="E202" t="s">
        <v>535</v>
      </c>
      <c r="F202">
        <v>44</v>
      </c>
      <c r="G202">
        <v>42</v>
      </c>
      <c r="H202">
        <v>85</v>
      </c>
      <c r="I202">
        <v>3570</v>
      </c>
      <c r="J202">
        <v>0.22</v>
      </c>
      <c r="K202">
        <v>785.4</v>
      </c>
      <c r="L202">
        <v>4355.3999999999996</v>
      </c>
      <c r="M202" t="s">
        <v>542</v>
      </c>
      <c r="N202" t="s">
        <v>546</v>
      </c>
    </row>
    <row r="203" spans="1:14" x14ac:dyDescent="0.3">
      <c r="A203" t="s">
        <v>215</v>
      </c>
      <c r="B203" s="3">
        <v>45390</v>
      </c>
      <c r="C203" t="s">
        <v>518</v>
      </c>
      <c r="D203" t="s">
        <v>532</v>
      </c>
      <c r="E203" t="s">
        <v>539</v>
      </c>
      <c r="F203">
        <v>42</v>
      </c>
      <c r="G203">
        <v>50</v>
      </c>
      <c r="H203">
        <v>212</v>
      </c>
      <c r="I203">
        <v>10600</v>
      </c>
      <c r="J203">
        <v>0.22</v>
      </c>
      <c r="K203">
        <v>2332</v>
      </c>
      <c r="L203">
        <v>12932</v>
      </c>
      <c r="M203" t="s">
        <v>541</v>
      </c>
      <c r="N203" t="s">
        <v>545</v>
      </c>
    </row>
    <row r="204" spans="1:14" x14ac:dyDescent="0.3">
      <c r="A204" t="s">
        <v>216</v>
      </c>
      <c r="B204" s="3">
        <v>45629</v>
      </c>
      <c r="C204" t="s">
        <v>520</v>
      </c>
      <c r="D204" t="s">
        <v>530</v>
      </c>
      <c r="E204" t="s">
        <v>537</v>
      </c>
      <c r="F204">
        <v>21</v>
      </c>
      <c r="G204">
        <v>24</v>
      </c>
      <c r="H204">
        <v>72</v>
      </c>
      <c r="I204">
        <v>1728</v>
      </c>
      <c r="J204">
        <v>0.1</v>
      </c>
      <c r="K204">
        <v>172.8</v>
      </c>
      <c r="L204">
        <v>1900.8</v>
      </c>
      <c r="M204" t="s">
        <v>543</v>
      </c>
      <c r="N204" t="s">
        <v>550</v>
      </c>
    </row>
    <row r="205" spans="1:14" x14ac:dyDescent="0.3">
      <c r="A205" t="s">
        <v>217</v>
      </c>
      <c r="B205" s="3">
        <v>45586</v>
      </c>
      <c r="C205" t="s">
        <v>522</v>
      </c>
      <c r="D205" t="s">
        <v>531</v>
      </c>
      <c r="E205" t="s">
        <v>535</v>
      </c>
      <c r="F205">
        <v>70</v>
      </c>
      <c r="G205">
        <v>60</v>
      </c>
      <c r="H205">
        <v>194</v>
      </c>
      <c r="I205">
        <v>11640</v>
      </c>
      <c r="J205">
        <v>0.22</v>
      </c>
      <c r="K205">
        <v>2560.8000000000002</v>
      </c>
      <c r="L205">
        <v>14200.8</v>
      </c>
      <c r="M205" t="s">
        <v>542</v>
      </c>
      <c r="N205" t="s">
        <v>547</v>
      </c>
    </row>
    <row r="206" spans="1:14" x14ac:dyDescent="0.3">
      <c r="A206" t="s">
        <v>218</v>
      </c>
      <c r="B206" s="3">
        <v>45785</v>
      </c>
      <c r="C206" t="s">
        <v>519</v>
      </c>
      <c r="D206" t="s">
        <v>527</v>
      </c>
      <c r="E206" t="s">
        <v>537</v>
      </c>
      <c r="F206">
        <v>59</v>
      </c>
      <c r="G206">
        <v>57</v>
      </c>
      <c r="H206">
        <v>95</v>
      </c>
      <c r="I206">
        <v>5415</v>
      </c>
      <c r="J206">
        <v>0.22</v>
      </c>
      <c r="K206">
        <v>1191.3</v>
      </c>
      <c r="L206">
        <v>6606.3</v>
      </c>
      <c r="M206" t="s">
        <v>543</v>
      </c>
      <c r="N206" t="s">
        <v>544</v>
      </c>
    </row>
    <row r="207" spans="1:14" x14ac:dyDescent="0.3">
      <c r="A207" t="s">
        <v>219</v>
      </c>
      <c r="B207" s="3">
        <v>45577</v>
      </c>
      <c r="C207" t="s">
        <v>519</v>
      </c>
      <c r="D207" t="s">
        <v>530</v>
      </c>
      <c r="E207" t="s">
        <v>538</v>
      </c>
      <c r="F207">
        <v>36</v>
      </c>
      <c r="G207">
        <v>45</v>
      </c>
      <c r="H207">
        <v>79</v>
      </c>
      <c r="I207">
        <v>3555</v>
      </c>
      <c r="J207">
        <v>0.22</v>
      </c>
      <c r="K207">
        <v>782.1</v>
      </c>
      <c r="L207">
        <v>4337.1000000000004</v>
      </c>
      <c r="M207" t="s">
        <v>541</v>
      </c>
      <c r="N207" t="s">
        <v>553</v>
      </c>
    </row>
    <row r="208" spans="1:14" x14ac:dyDescent="0.3">
      <c r="A208" t="s">
        <v>220</v>
      </c>
      <c r="B208" s="3">
        <v>45318</v>
      </c>
      <c r="C208" t="s">
        <v>522</v>
      </c>
      <c r="D208" t="s">
        <v>524</v>
      </c>
      <c r="E208" t="s">
        <v>534</v>
      </c>
      <c r="F208">
        <v>55</v>
      </c>
      <c r="G208">
        <v>65</v>
      </c>
      <c r="H208">
        <v>67</v>
      </c>
      <c r="I208">
        <v>4355</v>
      </c>
      <c r="J208">
        <v>0.22</v>
      </c>
      <c r="K208">
        <v>958.1</v>
      </c>
      <c r="L208">
        <v>5313.1</v>
      </c>
      <c r="M208" t="s">
        <v>543</v>
      </c>
      <c r="N208" t="s">
        <v>551</v>
      </c>
    </row>
    <row r="209" spans="1:14" x14ac:dyDescent="0.3">
      <c r="A209" t="s">
        <v>221</v>
      </c>
      <c r="B209" s="3">
        <v>45651</v>
      </c>
      <c r="C209" t="s">
        <v>514</v>
      </c>
      <c r="D209" t="s">
        <v>532</v>
      </c>
      <c r="E209" t="s">
        <v>538</v>
      </c>
      <c r="F209">
        <v>17</v>
      </c>
      <c r="G209">
        <v>16</v>
      </c>
      <c r="H209">
        <v>201</v>
      </c>
      <c r="I209">
        <v>3216</v>
      </c>
      <c r="J209">
        <v>0.22</v>
      </c>
      <c r="K209">
        <v>707.52</v>
      </c>
      <c r="L209">
        <v>3923.52</v>
      </c>
      <c r="M209" t="s">
        <v>541</v>
      </c>
      <c r="N209" t="s">
        <v>546</v>
      </c>
    </row>
    <row r="210" spans="1:14" x14ac:dyDescent="0.3">
      <c r="A210" t="s">
        <v>222</v>
      </c>
      <c r="B210" s="3">
        <v>45363</v>
      </c>
      <c r="C210" t="s">
        <v>521</v>
      </c>
      <c r="D210" t="s">
        <v>529</v>
      </c>
      <c r="E210" t="s">
        <v>535</v>
      </c>
      <c r="F210">
        <v>61</v>
      </c>
      <c r="G210">
        <v>76</v>
      </c>
      <c r="H210">
        <v>174</v>
      </c>
      <c r="I210">
        <v>13224</v>
      </c>
      <c r="J210">
        <v>0</v>
      </c>
      <c r="K210">
        <v>0</v>
      </c>
      <c r="L210">
        <v>13224</v>
      </c>
      <c r="M210" t="s">
        <v>542</v>
      </c>
      <c r="N210" t="s">
        <v>545</v>
      </c>
    </row>
    <row r="211" spans="1:14" x14ac:dyDescent="0.3">
      <c r="A211" t="s">
        <v>223</v>
      </c>
      <c r="B211" s="3">
        <v>45512</v>
      </c>
      <c r="C211" t="s">
        <v>515</v>
      </c>
      <c r="D211" t="s">
        <v>530</v>
      </c>
      <c r="E211" t="s">
        <v>540</v>
      </c>
      <c r="F211">
        <v>13</v>
      </c>
      <c r="G211">
        <v>15</v>
      </c>
      <c r="H211">
        <v>151</v>
      </c>
      <c r="I211">
        <v>2265</v>
      </c>
      <c r="J211">
        <v>0.22</v>
      </c>
      <c r="K211">
        <v>498.3</v>
      </c>
      <c r="L211">
        <v>2763.3</v>
      </c>
      <c r="M211" t="s">
        <v>543</v>
      </c>
      <c r="N211" t="s">
        <v>548</v>
      </c>
    </row>
    <row r="212" spans="1:14" x14ac:dyDescent="0.3">
      <c r="A212" t="s">
        <v>224</v>
      </c>
      <c r="B212" s="3">
        <v>45624</v>
      </c>
      <c r="C212" t="s">
        <v>520</v>
      </c>
      <c r="D212" t="s">
        <v>524</v>
      </c>
      <c r="E212" t="s">
        <v>534</v>
      </c>
      <c r="F212">
        <v>67</v>
      </c>
      <c r="G212">
        <v>66</v>
      </c>
      <c r="H212">
        <v>91</v>
      </c>
      <c r="I212">
        <v>6006</v>
      </c>
      <c r="J212">
        <v>0.22</v>
      </c>
      <c r="K212">
        <v>1321.32</v>
      </c>
      <c r="L212">
        <v>7327.32</v>
      </c>
      <c r="M212" t="s">
        <v>541</v>
      </c>
      <c r="N212" t="s">
        <v>550</v>
      </c>
    </row>
    <row r="213" spans="1:14" x14ac:dyDescent="0.3">
      <c r="A213" t="s">
        <v>225</v>
      </c>
      <c r="B213" s="3">
        <v>45375</v>
      </c>
      <c r="C213" t="s">
        <v>522</v>
      </c>
      <c r="D213" t="s">
        <v>533</v>
      </c>
      <c r="E213" t="s">
        <v>536</v>
      </c>
      <c r="F213">
        <v>68</v>
      </c>
      <c r="G213">
        <v>63</v>
      </c>
      <c r="H213">
        <v>145</v>
      </c>
      <c r="I213">
        <v>9135</v>
      </c>
      <c r="J213">
        <v>0.22</v>
      </c>
      <c r="K213">
        <v>2009.7</v>
      </c>
      <c r="L213">
        <v>11144.7</v>
      </c>
      <c r="M213" t="s">
        <v>541</v>
      </c>
      <c r="N213" t="s">
        <v>552</v>
      </c>
    </row>
    <row r="214" spans="1:14" x14ac:dyDescent="0.3">
      <c r="A214" t="s">
        <v>226</v>
      </c>
      <c r="B214" s="3">
        <v>45716</v>
      </c>
      <c r="C214" t="s">
        <v>522</v>
      </c>
      <c r="D214" t="s">
        <v>525</v>
      </c>
      <c r="E214" t="s">
        <v>538</v>
      </c>
      <c r="F214">
        <v>54</v>
      </c>
      <c r="G214">
        <v>51</v>
      </c>
      <c r="H214">
        <v>212</v>
      </c>
      <c r="I214">
        <v>10812</v>
      </c>
      <c r="J214">
        <v>0.22</v>
      </c>
      <c r="K214">
        <v>2378.64</v>
      </c>
      <c r="L214">
        <v>13190.64</v>
      </c>
      <c r="M214" t="s">
        <v>543</v>
      </c>
      <c r="N214" t="s">
        <v>546</v>
      </c>
    </row>
    <row r="215" spans="1:14" x14ac:dyDescent="0.3">
      <c r="A215" t="s">
        <v>227</v>
      </c>
      <c r="B215" s="3">
        <v>45405</v>
      </c>
      <c r="C215" t="s">
        <v>522</v>
      </c>
      <c r="D215" t="s">
        <v>529</v>
      </c>
      <c r="E215" t="s">
        <v>536</v>
      </c>
      <c r="F215">
        <v>52</v>
      </c>
      <c r="G215">
        <v>58</v>
      </c>
      <c r="H215">
        <v>122</v>
      </c>
      <c r="I215">
        <v>7076</v>
      </c>
      <c r="J215">
        <v>0</v>
      </c>
      <c r="K215">
        <v>0</v>
      </c>
      <c r="L215">
        <v>7076</v>
      </c>
      <c r="M215" t="s">
        <v>541</v>
      </c>
      <c r="N215" t="s">
        <v>552</v>
      </c>
    </row>
    <row r="216" spans="1:14" x14ac:dyDescent="0.3">
      <c r="A216" t="s">
        <v>228</v>
      </c>
      <c r="B216" s="3">
        <v>45831</v>
      </c>
      <c r="C216" t="s">
        <v>522</v>
      </c>
      <c r="D216" t="s">
        <v>524</v>
      </c>
      <c r="E216" t="s">
        <v>534</v>
      </c>
      <c r="F216">
        <v>67</v>
      </c>
      <c r="G216">
        <v>62</v>
      </c>
      <c r="H216">
        <v>184</v>
      </c>
      <c r="I216">
        <v>11408</v>
      </c>
      <c r="J216">
        <v>0.22</v>
      </c>
      <c r="K216">
        <v>2509.7600000000002</v>
      </c>
      <c r="L216">
        <v>13917.76</v>
      </c>
      <c r="M216" t="s">
        <v>541</v>
      </c>
      <c r="N216" t="s">
        <v>550</v>
      </c>
    </row>
    <row r="217" spans="1:14" x14ac:dyDescent="0.3">
      <c r="A217" t="s">
        <v>229</v>
      </c>
      <c r="B217" s="3">
        <v>45299</v>
      </c>
      <c r="C217" t="s">
        <v>519</v>
      </c>
      <c r="D217" t="s">
        <v>523</v>
      </c>
      <c r="E217" t="s">
        <v>534</v>
      </c>
      <c r="F217">
        <v>20</v>
      </c>
      <c r="G217">
        <v>22</v>
      </c>
      <c r="H217">
        <v>117</v>
      </c>
      <c r="I217">
        <v>2574</v>
      </c>
      <c r="J217">
        <v>0.22</v>
      </c>
      <c r="K217">
        <v>566.28</v>
      </c>
      <c r="L217">
        <v>3140.28</v>
      </c>
      <c r="M217" t="s">
        <v>543</v>
      </c>
      <c r="N217" t="s">
        <v>548</v>
      </c>
    </row>
    <row r="218" spans="1:14" x14ac:dyDescent="0.3">
      <c r="A218" t="s">
        <v>230</v>
      </c>
      <c r="B218" s="3">
        <v>45627</v>
      </c>
      <c r="C218" t="s">
        <v>520</v>
      </c>
      <c r="D218" t="s">
        <v>524</v>
      </c>
      <c r="E218" t="s">
        <v>540</v>
      </c>
      <c r="F218">
        <v>54</v>
      </c>
      <c r="G218">
        <v>58</v>
      </c>
      <c r="H218">
        <v>145</v>
      </c>
      <c r="I218">
        <v>8410</v>
      </c>
      <c r="J218">
        <v>0.22</v>
      </c>
      <c r="K218">
        <v>1850.2</v>
      </c>
      <c r="L218">
        <v>10260.200000000001</v>
      </c>
      <c r="M218" t="s">
        <v>542</v>
      </c>
      <c r="N218" t="s">
        <v>547</v>
      </c>
    </row>
    <row r="219" spans="1:14" x14ac:dyDescent="0.3">
      <c r="A219" t="s">
        <v>231</v>
      </c>
      <c r="B219" s="3">
        <v>45681</v>
      </c>
      <c r="C219" t="s">
        <v>516</v>
      </c>
      <c r="D219" t="s">
        <v>525</v>
      </c>
      <c r="E219" t="s">
        <v>539</v>
      </c>
      <c r="F219">
        <v>54</v>
      </c>
      <c r="G219">
        <v>49</v>
      </c>
      <c r="H219">
        <v>239</v>
      </c>
      <c r="I219">
        <v>11711</v>
      </c>
      <c r="J219">
        <v>0.22</v>
      </c>
      <c r="K219">
        <v>2576.42</v>
      </c>
      <c r="L219">
        <v>14287.42</v>
      </c>
      <c r="M219" t="s">
        <v>541</v>
      </c>
      <c r="N219" t="s">
        <v>551</v>
      </c>
    </row>
    <row r="220" spans="1:14" x14ac:dyDescent="0.3">
      <c r="A220" t="s">
        <v>232</v>
      </c>
      <c r="B220" s="3">
        <v>45365</v>
      </c>
      <c r="C220" t="s">
        <v>515</v>
      </c>
      <c r="D220" t="s">
        <v>524</v>
      </c>
      <c r="E220" t="s">
        <v>540</v>
      </c>
      <c r="F220">
        <v>45</v>
      </c>
      <c r="G220">
        <v>42</v>
      </c>
      <c r="H220">
        <v>129</v>
      </c>
      <c r="I220">
        <v>5418</v>
      </c>
      <c r="J220">
        <v>0.22</v>
      </c>
      <c r="K220">
        <v>1191.96</v>
      </c>
      <c r="L220">
        <v>6609.96</v>
      </c>
      <c r="M220" t="s">
        <v>542</v>
      </c>
      <c r="N220" t="s">
        <v>551</v>
      </c>
    </row>
    <row r="221" spans="1:14" x14ac:dyDescent="0.3">
      <c r="A221" t="s">
        <v>233</v>
      </c>
      <c r="B221" s="3">
        <v>45731</v>
      </c>
      <c r="C221" t="s">
        <v>515</v>
      </c>
      <c r="D221" t="s">
        <v>529</v>
      </c>
      <c r="E221" t="s">
        <v>540</v>
      </c>
      <c r="F221">
        <v>17</v>
      </c>
      <c r="G221">
        <v>15</v>
      </c>
      <c r="H221">
        <v>113</v>
      </c>
      <c r="I221">
        <v>1695</v>
      </c>
      <c r="J221">
        <v>0</v>
      </c>
      <c r="K221">
        <v>0</v>
      </c>
      <c r="L221">
        <v>1695</v>
      </c>
      <c r="M221" t="s">
        <v>543</v>
      </c>
      <c r="N221" t="s">
        <v>544</v>
      </c>
    </row>
    <row r="222" spans="1:14" x14ac:dyDescent="0.3">
      <c r="A222" t="s">
        <v>234</v>
      </c>
      <c r="B222" s="3">
        <v>45706</v>
      </c>
      <c r="C222" t="s">
        <v>514</v>
      </c>
      <c r="D222" t="s">
        <v>531</v>
      </c>
      <c r="E222" t="s">
        <v>534</v>
      </c>
      <c r="F222">
        <v>64</v>
      </c>
      <c r="G222">
        <v>60</v>
      </c>
      <c r="H222">
        <v>160</v>
      </c>
      <c r="I222">
        <v>9600</v>
      </c>
      <c r="J222">
        <v>0.22</v>
      </c>
      <c r="K222">
        <v>2112</v>
      </c>
      <c r="L222">
        <v>11712</v>
      </c>
      <c r="M222" t="s">
        <v>541</v>
      </c>
      <c r="N222" t="s">
        <v>552</v>
      </c>
    </row>
    <row r="223" spans="1:14" x14ac:dyDescent="0.3">
      <c r="A223" t="s">
        <v>235</v>
      </c>
      <c r="B223" s="3">
        <v>45662</v>
      </c>
      <c r="C223" t="s">
        <v>520</v>
      </c>
      <c r="D223" t="s">
        <v>530</v>
      </c>
      <c r="E223" t="s">
        <v>538</v>
      </c>
      <c r="F223">
        <v>8</v>
      </c>
      <c r="G223">
        <v>8</v>
      </c>
      <c r="H223">
        <v>112</v>
      </c>
      <c r="I223">
        <v>896</v>
      </c>
      <c r="J223">
        <v>0.22</v>
      </c>
      <c r="K223">
        <v>197.12</v>
      </c>
      <c r="L223">
        <v>1093.1199999999999</v>
      </c>
      <c r="M223" t="s">
        <v>543</v>
      </c>
      <c r="N223" t="s">
        <v>553</v>
      </c>
    </row>
    <row r="224" spans="1:14" x14ac:dyDescent="0.3">
      <c r="A224" t="s">
        <v>236</v>
      </c>
      <c r="B224" s="3">
        <v>45702</v>
      </c>
      <c r="C224" t="s">
        <v>516</v>
      </c>
      <c r="D224" t="s">
        <v>527</v>
      </c>
      <c r="E224" t="s">
        <v>540</v>
      </c>
      <c r="F224">
        <v>50</v>
      </c>
      <c r="G224">
        <v>60</v>
      </c>
      <c r="H224">
        <v>295</v>
      </c>
      <c r="I224">
        <v>17700</v>
      </c>
      <c r="J224">
        <v>0.1</v>
      </c>
      <c r="K224">
        <v>1770</v>
      </c>
      <c r="L224">
        <v>19470</v>
      </c>
      <c r="M224" t="s">
        <v>541</v>
      </c>
      <c r="N224" t="s">
        <v>551</v>
      </c>
    </row>
    <row r="225" spans="1:14" x14ac:dyDescent="0.3">
      <c r="A225" t="s">
        <v>237</v>
      </c>
      <c r="B225" s="3">
        <v>45518</v>
      </c>
      <c r="C225" t="s">
        <v>518</v>
      </c>
      <c r="D225" t="s">
        <v>532</v>
      </c>
      <c r="E225" t="s">
        <v>535</v>
      </c>
      <c r="F225">
        <v>5</v>
      </c>
      <c r="G225">
        <v>5</v>
      </c>
      <c r="H225">
        <v>162</v>
      </c>
      <c r="I225">
        <v>810</v>
      </c>
      <c r="J225">
        <v>0.22</v>
      </c>
      <c r="K225">
        <v>178.2</v>
      </c>
      <c r="L225">
        <v>988.2</v>
      </c>
      <c r="M225" t="s">
        <v>542</v>
      </c>
      <c r="N225" t="s">
        <v>545</v>
      </c>
    </row>
    <row r="226" spans="1:14" x14ac:dyDescent="0.3">
      <c r="A226" t="s">
        <v>238</v>
      </c>
      <c r="B226" s="3">
        <v>45814</v>
      </c>
      <c r="C226" t="s">
        <v>519</v>
      </c>
      <c r="D226" t="s">
        <v>531</v>
      </c>
      <c r="E226" t="s">
        <v>537</v>
      </c>
      <c r="F226">
        <v>62</v>
      </c>
      <c r="G226">
        <v>68</v>
      </c>
      <c r="H226">
        <v>65</v>
      </c>
      <c r="I226">
        <v>4420</v>
      </c>
      <c r="J226">
        <v>0.22</v>
      </c>
      <c r="K226">
        <v>972.4</v>
      </c>
      <c r="L226">
        <v>5392.4</v>
      </c>
      <c r="M226" t="s">
        <v>541</v>
      </c>
      <c r="N226" t="s">
        <v>547</v>
      </c>
    </row>
    <row r="227" spans="1:14" x14ac:dyDescent="0.3">
      <c r="A227" t="s">
        <v>239</v>
      </c>
      <c r="B227" s="3">
        <v>45533</v>
      </c>
      <c r="C227" t="s">
        <v>520</v>
      </c>
      <c r="D227" t="s">
        <v>532</v>
      </c>
      <c r="E227" t="s">
        <v>537</v>
      </c>
      <c r="F227">
        <v>42</v>
      </c>
      <c r="G227">
        <v>47</v>
      </c>
      <c r="H227">
        <v>158</v>
      </c>
      <c r="I227">
        <v>7426</v>
      </c>
      <c r="J227">
        <v>0.22</v>
      </c>
      <c r="K227">
        <v>1633.72</v>
      </c>
      <c r="L227">
        <v>9059.7199999999993</v>
      </c>
      <c r="M227" t="s">
        <v>541</v>
      </c>
      <c r="N227" t="s">
        <v>547</v>
      </c>
    </row>
    <row r="228" spans="1:14" x14ac:dyDescent="0.3">
      <c r="A228" t="s">
        <v>240</v>
      </c>
      <c r="B228" s="3">
        <v>45369</v>
      </c>
      <c r="C228" t="s">
        <v>521</v>
      </c>
      <c r="D228" t="s">
        <v>529</v>
      </c>
      <c r="E228" t="s">
        <v>540</v>
      </c>
      <c r="F228">
        <v>65</v>
      </c>
      <c r="G228">
        <v>55</v>
      </c>
      <c r="H228">
        <v>227</v>
      </c>
      <c r="I228">
        <v>12485</v>
      </c>
      <c r="J228">
        <v>0</v>
      </c>
      <c r="K228">
        <v>0</v>
      </c>
      <c r="L228">
        <v>12485</v>
      </c>
      <c r="M228" t="s">
        <v>543</v>
      </c>
      <c r="N228" t="s">
        <v>553</v>
      </c>
    </row>
    <row r="229" spans="1:14" x14ac:dyDescent="0.3">
      <c r="A229" t="s">
        <v>241</v>
      </c>
      <c r="B229" s="3">
        <v>45751</v>
      </c>
      <c r="C229" t="s">
        <v>518</v>
      </c>
      <c r="D229" t="s">
        <v>529</v>
      </c>
      <c r="E229" t="s">
        <v>537</v>
      </c>
      <c r="F229">
        <v>50</v>
      </c>
      <c r="G229">
        <v>52</v>
      </c>
      <c r="H229">
        <v>203</v>
      </c>
      <c r="I229">
        <v>10556</v>
      </c>
      <c r="J229">
        <v>0</v>
      </c>
      <c r="K229">
        <v>0</v>
      </c>
      <c r="L229">
        <v>10556</v>
      </c>
      <c r="M229" t="s">
        <v>542</v>
      </c>
      <c r="N229" t="s">
        <v>552</v>
      </c>
    </row>
    <row r="230" spans="1:14" x14ac:dyDescent="0.3">
      <c r="A230" t="s">
        <v>242</v>
      </c>
      <c r="B230" s="3">
        <v>45361</v>
      </c>
      <c r="C230" t="s">
        <v>517</v>
      </c>
      <c r="D230" t="s">
        <v>533</v>
      </c>
      <c r="E230" t="s">
        <v>536</v>
      </c>
      <c r="F230">
        <v>15</v>
      </c>
      <c r="G230">
        <v>13</v>
      </c>
      <c r="H230">
        <v>173</v>
      </c>
      <c r="I230">
        <v>2249</v>
      </c>
      <c r="J230">
        <v>0.22</v>
      </c>
      <c r="K230">
        <v>494.78</v>
      </c>
      <c r="L230">
        <v>2743.78</v>
      </c>
      <c r="M230" t="s">
        <v>543</v>
      </c>
      <c r="N230" t="s">
        <v>553</v>
      </c>
    </row>
    <row r="231" spans="1:14" x14ac:dyDescent="0.3">
      <c r="A231" t="s">
        <v>243</v>
      </c>
      <c r="B231" s="3">
        <v>45349</v>
      </c>
      <c r="C231" t="s">
        <v>518</v>
      </c>
      <c r="D231" t="s">
        <v>528</v>
      </c>
      <c r="E231" t="s">
        <v>535</v>
      </c>
      <c r="F231">
        <v>32</v>
      </c>
      <c r="G231">
        <v>30</v>
      </c>
      <c r="H231">
        <v>206</v>
      </c>
      <c r="I231">
        <v>6180</v>
      </c>
      <c r="J231">
        <v>0.22</v>
      </c>
      <c r="K231">
        <v>1359.6</v>
      </c>
      <c r="L231">
        <v>7539.6</v>
      </c>
      <c r="M231" t="s">
        <v>543</v>
      </c>
      <c r="N231" t="s">
        <v>550</v>
      </c>
    </row>
    <row r="232" spans="1:14" x14ac:dyDescent="0.3">
      <c r="A232" t="s">
        <v>244</v>
      </c>
      <c r="B232" s="3">
        <v>45350</v>
      </c>
      <c r="C232" t="s">
        <v>518</v>
      </c>
      <c r="D232" t="s">
        <v>523</v>
      </c>
      <c r="E232" t="s">
        <v>535</v>
      </c>
      <c r="F232">
        <v>19</v>
      </c>
      <c r="G232">
        <v>17</v>
      </c>
      <c r="H232">
        <v>179</v>
      </c>
      <c r="I232">
        <v>3043</v>
      </c>
      <c r="J232">
        <v>0.22</v>
      </c>
      <c r="K232">
        <v>669.46</v>
      </c>
      <c r="L232">
        <v>3712.46</v>
      </c>
      <c r="M232" t="s">
        <v>542</v>
      </c>
      <c r="N232" t="s">
        <v>553</v>
      </c>
    </row>
    <row r="233" spans="1:14" x14ac:dyDescent="0.3">
      <c r="A233" t="s">
        <v>245</v>
      </c>
      <c r="B233" s="3">
        <v>45811</v>
      </c>
      <c r="C233" t="s">
        <v>515</v>
      </c>
      <c r="D233" t="s">
        <v>533</v>
      </c>
      <c r="E233" t="s">
        <v>539</v>
      </c>
      <c r="F233">
        <v>63</v>
      </c>
      <c r="G233">
        <v>63</v>
      </c>
      <c r="H233">
        <v>78</v>
      </c>
      <c r="I233">
        <v>4914</v>
      </c>
      <c r="J233">
        <v>0.22</v>
      </c>
      <c r="K233">
        <v>1081.08</v>
      </c>
      <c r="L233">
        <v>5995.08</v>
      </c>
      <c r="M233" t="s">
        <v>541</v>
      </c>
      <c r="N233" t="s">
        <v>550</v>
      </c>
    </row>
    <row r="234" spans="1:14" x14ac:dyDescent="0.3">
      <c r="A234" t="s">
        <v>246</v>
      </c>
      <c r="B234" s="3">
        <v>45752</v>
      </c>
      <c r="C234" t="s">
        <v>519</v>
      </c>
      <c r="D234" t="s">
        <v>531</v>
      </c>
      <c r="E234" t="s">
        <v>539</v>
      </c>
      <c r="F234">
        <v>60</v>
      </c>
      <c r="G234">
        <v>58</v>
      </c>
      <c r="H234">
        <v>242</v>
      </c>
      <c r="I234">
        <v>14036</v>
      </c>
      <c r="J234">
        <v>0.22</v>
      </c>
      <c r="K234">
        <v>3087.92</v>
      </c>
      <c r="L234">
        <v>17123.919999999998</v>
      </c>
      <c r="M234" t="s">
        <v>542</v>
      </c>
      <c r="N234" t="s">
        <v>550</v>
      </c>
    </row>
    <row r="235" spans="1:14" x14ac:dyDescent="0.3">
      <c r="A235" t="s">
        <v>247</v>
      </c>
      <c r="B235" s="3">
        <v>45753</v>
      </c>
      <c r="C235" t="s">
        <v>520</v>
      </c>
      <c r="D235" t="s">
        <v>531</v>
      </c>
      <c r="E235" t="s">
        <v>536</v>
      </c>
      <c r="F235">
        <v>62</v>
      </c>
      <c r="G235">
        <v>62</v>
      </c>
      <c r="H235">
        <v>82</v>
      </c>
      <c r="I235">
        <v>5084</v>
      </c>
      <c r="J235">
        <v>0.22</v>
      </c>
      <c r="K235">
        <v>1118.48</v>
      </c>
      <c r="L235">
        <v>6202.48</v>
      </c>
      <c r="M235" t="s">
        <v>541</v>
      </c>
      <c r="N235" t="s">
        <v>547</v>
      </c>
    </row>
    <row r="236" spans="1:14" x14ac:dyDescent="0.3">
      <c r="A236" t="s">
        <v>248</v>
      </c>
      <c r="B236" s="3">
        <v>45332</v>
      </c>
      <c r="C236" t="s">
        <v>519</v>
      </c>
      <c r="D236" t="s">
        <v>533</v>
      </c>
      <c r="E236" t="s">
        <v>540</v>
      </c>
      <c r="F236">
        <v>8</v>
      </c>
      <c r="G236">
        <v>9</v>
      </c>
      <c r="H236">
        <v>199</v>
      </c>
      <c r="I236">
        <v>1791</v>
      </c>
      <c r="J236">
        <v>0.22</v>
      </c>
      <c r="K236">
        <v>394.02</v>
      </c>
      <c r="L236">
        <v>2185.02</v>
      </c>
      <c r="M236" t="s">
        <v>541</v>
      </c>
      <c r="N236" t="s">
        <v>547</v>
      </c>
    </row>
    <row r="237" spans="1:14" x14ac:dyDescent="0.3">
      <c r="A237" t="s">
        <v>249</v>
      </c>
      <c r="B237" s="3">
        <v>45664</v>
      </c>
      <c r="C237" t="s">
        <v>518</v>
      </c>
      <c r="D237" t="s">
        <v>523</v>
      </c>
      <c r="E237" t="s">
        <v>540</v>
      </c>
      <c r="F237">
        <v>1</v>
      </c>
      <c r="G237">
        <v>1</v>
      </c>
      <c r="H237">
        <v>117</v>
      </c>
      <c r="I237">
        <v>117</v>
      </c>
      <c r="J237">
        <v>0.22</v>
      </c>
      <c r="K237">
        <v>25.74</v>
      </c>
      <c r="L237">
        <v>142.74</v>
      </c>
      <c r="M237" t="s">
        <v>543</v>
      </c>
      <c r="N237" t="s">
        <v>553</v>
      </c>
    </row>
    <row r="238" spans="1:14" x14ac:dyDescent="0.3">
      <c r="A238" t="s">
        <v>250</v>
      </c>
      <c r="B238" s="3">
        <v>45345</v>
      </c>
      <c r="C238" t="s">
        <v>518</v>
      </c>
      <c r="D238" t="s">
        <v>527</v>
      </c>
      <c r="E238" t="s">
        <v>537</v>
      </c>
      <c r="F238">
        <v>1</v>
      </c>
      <c r="G238">
        <v>1</v>
      </c>
      <c r="H238">
        <v>298</v>
      </c>
      <c r="I238">
        <v>298</v>
      </c>
      <c r="J238">
        <v>0.22</v>
      </c>
      <c r="K238">
        <v>65.56</v>
      </c>
      <c r="L238">
        <v>363.56</v>
      </c>
      <c r="M238" t="s">
        <v>541</v>
      </c>
      <c r="N238" t="s">
        <v>546</v>
      </c>
    </row>
    <row r="239" spans="1:14" x14ac:dyDescent="0.3">
      <c r="A239" t="s">
        <v>251</v>
      </c>
      <c r="B239" s="3">
        <v>45582</v>
      </c>
      <c r="C239" t="s">
        <v>522</v>
      </c>
      <c r="D239" t="s">
        <v>529</v>
      </c>
      <c r="E239" t="s">
        <v>539</v>
      </c>
      <c r="F239">
        <v>28</v>
      </c>
      <c r="G239">
        <v>34</v>
      </c>
      <c r="H239">
        <v>155</v>
      </c>
      <c r="I239">
        <v>5270</v>
      </c>
      <c r="J239">
        <v>0</v>
      </c>
      <c r="K239">
        <v>0</v>
      </c>
      <c r="L239">
        <v>5270</v>
      </c>
      <c r="M239" t="s">
        <v>542</v>
      </c>
      <c r="N239" t="s">
        <v>551</v>
      </c>
    </row>
    <row r="240" spans="1:14" x14ac:dyDescent="0.3">
      <c r="A240" t="s">
        <v>252</v>
      </c>
      <c r="B240" s="3">
        <v>45375</v>
      </c>
      <c r="C240" t="s">
        <v>521</v>
      </c>
      <c r="D240" t="s">
        <v>531</v>
      </c>
      <c r="E240" t="s">
        <v>537</v>
      </c>
      <c r="F240">
        <v>51</v>
      </c>
      <c r="G240">
        <v>48</v>
      </c>
      <c r="H240">
        <v>148</v>
      </c>
      <c r="I240">
        <v>7104</v>
      </c>
      <c r="J240">
        <v>0.1</v>
      </c>
      <c r="K240">
        <v>710.4</v>
      </c>
      <c r="L240">
        <v>7814.4</v>
      </c>
      <c r="M240" t="s">
        <v>541</v>
      </c>
      <c r="N240" t="s">
        <v>546</v>
      </c>
    </row>
    <row r="241" spans="1:14" x14ac:dyDescent="0.3">
      <c r="A241" t="s">
        <v>253</v>
      </c>
      <c r="B241" s="3">
        <v>45424</v>
      </c>
      <c r="C241" t="s">
        <v>520</v>
      </c>
      <c r="D241" t="s">
        <v>523</v>
      </c>
      <c r="E241" t="s">
        <v>539</v>
      </c>
      <c r="F241">
        <v>1</v>
      </c>
      <c r="G241">
        <v>1</v>
      </c>
      <c r="H241">
        <v>75</v>
      </c>
      <c r="I241">
        <v>75</v>
      </c>
      <c r="J241">
        <v>0.22</v>
      </c>
      <c r="K241">
        <v>16.5</v>
      </c>
      <c r="L241">
        <v>91.5</v>
      </c>
      <c r="M241" t="s">
        <v>543</v>
      </c>
      <c r="N241" t="s">
        <v>547</v>
      </c>
    </row>
    <row r="242" spans="1:14" x14ac:dyDescent="0.3">
      <c r="A242" t="s">
        <v>254</v>
      </c>
      <c r="B242" s="3">
        <v>45831</v>
      </c>
      <c r="C242" t="s">
        <v>520</v>
      </c>
      <c r="D242" t="s">
        <v>529</v>
      </c>
      <c r="E242" t="s">
        <v>536</v>
      </c>
      <c r="F242">
        <v>72</v>
      </c>
      <c r="G242">
        <v>61</v>
      </c>
      <c r="H242">
        <v>290</v>
      </c>
      <c r="I242">
        <v>17690</v>
      </c>
      <c r="J242">
        <v>0</v>
      </c>
      <c r="K242">
        <v>0</v>
      </c>
      <c r="L242">
        <v>17690</v>
      </c>
      <c r="M242" t="s">
        <v>543</v>
      </c>
      <c r="N242" t="s">
        <v>545</v>
      </c>
    </row>
    <row r="243" spans="1:14" x14ac:dyDescent="0.3">
      <c r="A243" t="s">
        <v>255</v>
      </c>
      <c r="B243" s="3">
        <v>45662</v>
      </c>
      <c r="C243" t="s">
        <v>514</v>
      </c>
      <c r="D243" t="s">
        <v>531</v>
      </c>
      <c r="E243" t="s">
        <v>537</v>
      </c>
      <c r="F243">
        <v>76</v>
      </c>
      <c r="G243">
        <v>64</v>
      </c>
      <c r="H243">
        <v>250</v>
      </c>
      <c r="I243">
        <v>16000</v>
      </c>
      <c r="J243">
        <v>0.22</v>
      </c>
      <c r="K243">
        <v>3520</v>
      </c>
      <c r="L243">
        <v>19520</v>
      </c>
      <c r="M243" t="s">
        <v>542</v>
      </c>
      <c r="N243" t="s">
        <v>551</v>
      </c>
    </row>
    <row r="244" spans="1:14" x14ac:dyDescent="0.3">
      <c r="A244" t="s">
        <v>256</v>
      </c>
      <c r="B244" s="3">
        <v>45789</v>
      </c>
      <c r="C244" t="s">
        <v>519</v>
      </c>
      <c r="D244" t="s">
        <v>525</v>
      </c>
      <c r="E244" t="s">
        <v>534</v>
      </c>
      <c r="F244">
        <v>80</v>
      </c>
      <c r="G244">
        <v>69</v>
      </c>
      <c r="H244">
        <v>81</v>
      </c>
      <c r="I244">
        <v>5589</v>
      </c>
      <c r="J244">
        <v>0.22</v>
      </c>
      <c r="K244">
        <v>1229.58</v>
      </c>
      <c r="L244">
        <v>6818.58</v>
      </c>
      <c r="M244" t="s">
        <v>543</v>
      </c>
      <c r="N244" t="s">
        <v>544</v>
      </c>
    </row>
    <row r="245" spans="1:14" x14ac:dyDescent="0.3">
      <c r="A245" t="s">
        <v>257</v>
      </c>
      <c r="B245" s="3">
        <v>45811</v>
      </c>
      <c r="C245" t="s">
        <v>516</v>
      </c>
      <c r="D245" t="s">
        <v>528</v>
      </c>
      <c r="E245" t="s">
        <v>535</v>
      </c>
      <c r="F245">
        <v>64</v>
      </c>
      <c r="G245">
        <v>67</v>
      </c>
      <c r="H245">
        <v>135</v>
      </c>
      <c r="I245">
        <v>9045</v>
      </c>
      <c r="J245">
        <v>0.22</v>
      </c>
      <c r="K245">
        <v>1989.9</v>
      </c>
      <c r="L245">
        <v>11034.9</v>
      </c>
      <c r="M245" t="s">
        <v>541</v>
      </c>
      <c r="N245" t="s">
        <v>547</v>
      </c>
    </row>
    <row r="246" spans="1:14" x14ac:dyDescent="0.3">
      <c r="A246" t="s">
        <v>258</v>
      </c>
      <c r="B246" s="3">
        <v>45677</v>
      </c>
      <c r="C246" t="s">
        <v>521</v>
      </c>
      <c r="D246" t="s">
        <v>532</v>
      </c>
      <c r="E246" t="s">
        <v>534</v>
      </c>
      <c r="F246">
        <v>21</v>
      </c>
      <c r="G246">
        <v>26</v>
      </c>
      <c r="H246">
        <v>203</v>
      </c>
      <c r="I246">
        <v>5278</v>
      </c>
      <c r="J246">
        <v>0.22</v>
      </c>
      <c r="K246">
        <v>1161.1600000000001</v>
      </c>
      <c r="L246">
        <v>6439.16</v>
      </c>
      <c r="M246" t="s">
        <v>541</v>
      </c>
      <c r="N246" t="s">
        <v>547</v>
      </c>
    </row>
    <row r="247" spans="1:14" x14ac:dyDescent="0.3">
      <c r="A247" t="s">
        <v>259</v>
      </c>
      <c r="B247" s="3">
        <v>45740</v>
      </c>
      <c r="C247" t="s">
        <v>514</v>
      </c>
      <c r="D247" t="s">
        <v>530</v>
      </c>
      <c r="E247" t="s">
        <v>537</v>
      </c>
      <c r="F247">
        <v>60</v>
      </c>
      <c r="G247">
        <v>51</v>
      </c>
      <c r="H247">
        <v>288</v>
      </c>
      <c r="I247">
        <v>14688</v>
      </c>
      <c r="J247">
        <v>0.22</v>
      </c>
      <c r="K247">
        <v>3231.36</v>
      </c>
      <c r="L247">
        <v>17919.36</v>
      </c>
      <c r="M247" t="s">
        <v>542</v>
      </c>
      <c r="N247" t="s">
        <v>552</v>
      </c>
    </row>
    <row r="248" spans="1:14" x14ac:dyDescent="0.3">
      <c r="A248" t="s">
        <v>260</v>
      </c>
      <c r="B248" s="3">
        <v>45583</v>
      </c>
      <c r="C248" t="s">
        <v>517</v>
      </c>
      <c r="D248" t="s">
        <v>525</v>
      </c>
      <c r="E248" t="s">
        <v>539</v>
      </c>
      <c r="F248">
        <v>55</v>
      </c>
      <c r="G248">
        <v>57</v>
      </c>
      <c r="H248">
        <v>88</v>
      </c>
      <c r="I248">
        <v>5016</v>
      </c>
      <c r="J248">
        <v>0.22</v>
      </c>
      <c r="K248">
        <v>1103.52</v>
      </c>
      <c r="L248">
        <v>6119.52</v>
      </c>
      <c r="M248" t="s">
        <v>543</v>
      </c>
      <c r="N248" t="s">
        <v>549</v>
      </c>
    </row>
    <row r="249" spans="1:14" x14ac:dyDescent="0.3">
      <c r="A249" t="s">
        <v>261</v>
      </c>
      <c r="B249" s="3">
        <v>45668</v>
      </c>
      <c r="C249" t="s">
        <v>517</v>
      </c>
      <c r="D249" t="s">
        <v>533</v>
      </c>
      <c r="E249" t="s">
        <v>538</v>
      </c>
      <c r="F249">
        <v>93</v>
      </c>
      <c r="G249">
        <v>78</v>
      </c>
      <c r="H249">
        <v>279</v>
      </c>
      <c r="I249">
        <v>21762</v>
      </c>
      <c r="J249">
        <v>0.22</v>
      </c>
      <c r="K249">
        <v>4787.6400000000003</v>
      </c>
      <c r="L249">
        <v>26549.64</v>
      </c>
      <c r="M249" t="s">
        <v>543</v>
      </c>
      <c r="N249" t="s">
        <v>545</v>
      </c>
    </row>
    <row r="250" spans="1:14" x14ac:dyDescent="0.3">
      <c r="A250" t="s">
        <v>262</v>
      </c>
      <c r="B250" s="3">
        <v>45832</v>
      </c>
      <c r="C250" t="s">
        <v>515</v>
      </c>
      <c r="D250" t="s">
        <v>532</v>
      </c>
      <c r="E250" t="s">
        <v>538</v>
      </c>
      <c r="F250">
        <v>82</v>
      </c>
      <c r="G250">
        <v>69</v>
      </c>
      <c r="H250">
        <v>106</v>
      </c>
      <c r="I250">
        <v>7314</v>
      </c>
      <c r="J250">
        <v>0.22</v>
      </c>
      <c r="K250">
        <v>1609.08</v>
      </c>
      <c r="L250">
        <v>8923.08</v>
      </c>
      <c r="M250" t="s">
        <v>541</v>
      </c>
      <c r="N250" t="s">
        <v>547</v>
      </c>
    </row>
    <row r="251" spans="1:14" x14ac:dyDescent="0.3">
      <c r="A251" t="s">
        <v>263</v>
      </c>
      <c r="B251" s="3">
        <v>45548</v>
      </c>
      <c r="C251" t="s">
        <v>514</v>
      </c>
      <c r="D251" t="s">
        <v>529</v>
      </c>
      <c r="E251" t="s">
        <v>540</v>
      </c>
      <c r="F251">
        <v>71</v>
      </c>
      <c r="G251">
        <v>62</v>
      </c>
      <c r="H251">
        <v>256</v>
      </c>
      <c r="I251">
        <v>15872</v>
      </c>
      <c r="J251">
        <v>0</v>
      </c>
      <c r="K251">
        <v>0</v>
      </c>
      <c r="L251">
        <v>15872</v>
      </c>
      <c r="M251" t="s">
        <v>543</v>
      </c>
      <c r="N251" t="s">
        <v>545</v>
      </c>
    </row>
    <row r="252" spans="1:14" x14ac:dyDescent="0.3">
      <c r="A252" t="s">
        <v>264</v>
      </c>
      <c r="B252" s="3">
        <v>45397</v>
      </c>
      <c r="C252" t="s">
        <v>516</v>
      </c>
      <c r="D252" t="s">
        <v>527</v>
      </c>
      <c r="E252" t="s">
        <v>537</v>
      </c>
      <c r="F252">
        <v>70</v>
      </c>
      <c r="G252">
        <v>76</v>
      </c>
      <c r="H252">
        <v>203</v>
      </c>
      <c r="I252">
        <v>15428</v>
      </c>
      <c r="J252">
        <v>0.22</v>
      </c>
      <c r="K252">
        <v>3394.16</v>
      </c>
      <c r="L252">
        <v>18822.16</v>
      </c>
      <c r="M252" t="s">
        <v>542</v>
      </c>
      <c r="N252" t="s">
        <v>548</v>
      </c>
    </row>
    <row r="253" spans="1:14" x14ac:dyDescent="0.3">
      <c r="A253" t="s">
        <v>265</v>
      </c>
      <c r="B253" s="3">
        <v>45752</v>
      </c>
      <c r="C253" t="s">
        <v>516</v>
      </c>
      <c r="D253" t="s">
        <v>532</v>
      </c>
      <c r="E253" t="s">
        <v>538</v>
      </c>
      <c r="F253">
        <v>46</v>
      </c>
      <c r="G253">
        <v>48</v>
      </c>
      <c r="H253">
        <v>144</v>
      </c>
      <c r="I253">
        <v>6912</v>
      </c>
      <c r="J253">
        <v>0.22</v>
      </c>
      <c r="K253">
        <v>1520.64</v>
      </c>
      <c r="L253">
        <v>8432.64</v>
      </c>
      <c r="M253" t="s">
        <v>542</v>
      </c>
      <c r="N253" t="s">
        <v>552</v>
      </c>
    </row>
    <row r="254" spans="1:14" x14ac:dyDescent="0.3">
      <c r="A254" t="s">
        <v>266</v>
      </c>
      <c r="B254" s="3">
        <v>45649</v>
      </c>
      <c r="C254" t="s">
        <v>514</v>
      </c>
      <c r="D254" t="s">
        <v>530</v>
      </c>
      <c r="E254" t="s">
        <v>535</v>
      </c>
      <c r="F254">
        <v>44</v>
      </c>
      <c r="G254">
        <v>39</v>
      </c>
      <c r="H254">
        <v>159</v>
      </c>
      <c r="I254">
        <v>6201</v>
      </c>
      <c r="J254">
        <v>0.22</v>
      </c>
      <c r="K254">
        <v>1364.22</v>
      </c>
      <c r="L254">
        <v>7565.22</v>
      </c>
      <c r="M254" t="s">
        <v>543</v>
      </c>
      <c r="N254" t="s">
        <v>549</v>
      </c>
    </row>
    <row r="255" spans="1:14" x14ac:dyDescent="0.3">
      <c r="A255" t="s">
        <v>267</v>
      </c>
      <c r="B255" s="3">
        <v>45687</v>
      </c>
      <c r="C255" t="s">
        <v>520</v>
      </c>
      <c r="D255" t="s">
        <v>531</v>
      </c>
      <c r="E255" t="s">
        <v>534</v>
      </c>
      <c r="F255">
        <v>31</v>
      </c>
      <c r="G255">
        <v>33</v>
      </c>
      <c r="H255">
        <v>281</v>
      </c>
      <c r="I255">
        <v>9273</v>
      </c>
      <c r="J255">
        <v>0.22</v>
      </c>
      <c r="K255">
        <v>2040.06</v>
      </c>
      <c r="L255">
        <v>11313.06</v>
      </c>
      <c r="M255" t="s">
        <v>542</v>
      </c>
      <c r="N255" t="s">
        <v>551</v>
      </c>
    </row>
    <row r="256" spans="1:14" x14ac:dyDescent="0.3">
      <c r="A256" t="s">
        <v>268</v>
      </c>
      <c r="B256" s="3">
        <v>45441</v>
      </c>
      <c r="C256" t="s">
        <v>521</v>
      </c>
      <c r="D256" t="s">
        <v>524</v>
      </c>
      <c r="E256" t="s">
        <v>537</v>
      </c>
      <c r="F256">
        <v>20</v>
      </c>
      <c r="G256">
        <v>23</v>
      </c>
      <c r="H256">
        <v>69</v>
      </c>
      <c r="I256">
        <v>1587</v>
      </c>
      <c r="J256">
        <v>0.1</v>
      </c>
      <c r="K256">
        <v>158.69999999999999</v>
      </c>
      <c r="L256">
        <v>1745.7</v>
      </c>
      <c r="M256" t="s">
        <v>543</v>
      </c>
      <c r="N256" t="s">
        <v>547</v>
      </c>
    </row>
    <row r="257" spans="1:14" x14ac:dyDescent="0.3">
      <c r="A257" t="s">
        <v>269</v>
      </c>
      <c r="B257" s="3">
        <v>45772</v>
      </c>
      <c r="C257" t="s">
        <v>517</v>
      </c>
      <c r="D257" t="s">
        <v>526</v>
      </c>
      <c r="E257" t="s">
        <v>535</v>
      </c>
      <c r="F257">
        <v>71</v>
      </c>
      <c r="G257">
        <v>69</v>
      </c>
      <c r="H257">
        <v>159</v>
      </c>
      <c r="I257">
        <v>10971</v>
      </c>
      <c r="J257">
        <v>0</v>
      </c>
      <c r="K257">
        <v>0</v>
      </c>
      <c r="L257">
        <v>10971</v>
      </c>
      <c r="M257" t="s">
        <v>542</v>
      </c>
      <c r="N257" t="s">
        <v>550</v>
      </c>
    </row>
    <row r="258" spans="1:14" x14ac:dyDescent="0.3">
      <c r="A258" t="s">
        <v>270</v>
      </c>
      <c r="B258" s="3">
        <v>45554</v>
      </c>
      <c r="C258" t="s">
        <v>519</v>
      </c>
      <c r="D258" t="s">
        <v>532</v>
      </c>
      <c r="E258" t="s">
        <v>539</v>
      </c>
      <c r="F258">
        <v>40</v>
      </c>
      <c r="G258">
        <v>34</v>
      </c>
      <c r="H258">
        <v>239</v>
      </c>
      <c r="I258">
        <v>8126</v>
      </c>
      <c r="J258">
        <v>0.1</v>
      </c>
      <c r="K258">
        <v>812.6</v>
      </c>
      <c r="L258">
        <v>8938.6</v>
      </c>
      <c r="M258" t="s">
        <v>541</v>
      </c>
      <c r="N258" t="s">
        <v>545</v>
      </c>
    </row>
    <row r="259" spans="1:14" x14ac:dyDescent="0.3">
      <c r="A259" t="s">
        <v>271</v>
      </c>
      <c r="B259" s="3">
        <v>45725</v>
      </c>
      <c r="C259" t="s">
        <v>520</v>
      </c>
      <c r="D259" t="s">
        <v>523</v>
      </c>
      <c r="E259" t="s">
        <v>534</v>
      </c>
      <c r="F259">
        <v>11</v>
      </c>
      <c r="G259">
        <v>10</v>
      </c>
      <c r="H259">
        <v>206</v>
      </c>
      <c r="I259">
        <v>2060</v>
      </c>
      <c r="J259">
        <v>0.22</v>
      </c>
      <c r="K259">
        <v>453.2</v>
      </c>
      <c r="L259">
        <v>2513.1999999999998</v>
      </c>
      <c r="M259" t="s">
        <v>542</v>
      </c>
      <c r="N259" t="s">
        <v>549</v>
      </c>
    </row>
    <row r="260" spans="1:14" x14ac:dyDescent="0.3">
      <c r="A260" t="s">
        <v>272</v>
      </c>
      <c r="B260" s="3">
        <v>45721</v>
      </c>
      <c r="C260" t="s">
        <v>517</v>
      </c>
      <c r="D260" t="s">
        <v>527</v>
      </c>
      <c r="E260" t="s">
        <v>535</v>
      </c>
      <c r="F260">
        <v>60</v>
      </c>
      <c r="G260">
        <v>58</v>
      </c>
      <c r="H260">
        <v>155</v>
      </c>
      <c r="I260">
        <v>8990</v>
      </c>
      <c r="J260">
        <v>0.22</v>
      </c>
      <c r="K260">
        <v>1977.8</v>
      </c>
      <c r="L260">
        <v>10967.8</v>
      </c>
      <c r="M260" t="s">
        <v>543</v>
      </c>
      <c r="N260" t="s">
        <v>553</v>
      </c>
    </row>
    <row r="261" spans="1:14" x14ac:dyDescent="0.3">
      <c r="A261" t="s">
        <v>273</v>
      </c>
      <c r="B261" s="3">
        <v>45308</v>
      </c>
      <c r="C261" t="s">
        <v>516</v>
      </c>
      <c r="D261" t="s">
        <v>526</v>
      </c>
      <c r="E261" t="s">
        <v>534</v>
      </c>
      <c r="F261">
        <v>1</v>
      </c>
      <c r="G261">
        <v>1</v>
      </c>
      <c r="H261">
        <v>128</v>
      </c>
      <c r="I261">
        <v>128</v>
      </c>
      <c r="J261">
        <v>0</v>
      </c>
      <c r="K261">
        <v>0</v>
      </c>
      <c r="L261">
        <v>128</v>
      </c>
      <c r="M261" t="s">
        <v>541</v>
      </c>
      <c r="N261" t="s">
        <v>547</v>
      </c>
    </row>
    <row r="262" spans="1:14" x14ac:dyDescent="0.3">
      <c r="A262" t="s">
        <v>274</v>
      </c>
      <c r="B262" s="3">
        <v>45590</v>
      </c>
      <c r="C262" t="s">
        <v>515</v>
      </c>
      <c r="D262" t="s">
        <v>524</v>
      </c>
      <c r="E262" t="s">
        <v>539</v>
      </c>
      <c r="F262">
        <v>4</v>
      </c>
      <c r="G262">
        <v>4</v>
      </c>
      <c r="H262">
        <v>75</v>
      </c>
      <c r="I262">
        <v>300</v>
      </c>
      <c r="J262">
        <v>0.22</v>
      </c>
      <c r="K262">
        <v>66</v>
      </c>
      <c r="L262">
        <v>366</v>
      </c>
      <c r="M262" t="s">
        <v>541</v>
      </c>
      <c r="N262" t="s">
        <v>546</v>
      </c>
    </row>
    <row r="263" spans="1:14" x14ac:dyDescent="0.3">
      <c r="A263" t="s">
        <v>275</v>
      </c>
      <c r="B263" s="3">
        <v>45483</v>
      </c>
      <c r="C263" t="s">
        <v>520</v>
      </c>
      <c r="D263" t="s">
        <v>528</v>
      </c>
      <c r="E263" t="s">
        <v>537</v>
      </c>
      <c r="F263">
        <v>29</v>
      </c>
      <c r="G263">
        <v>24</v>
      </c>
      <c r="H263">
        <v>139</v>
      </c>
      <c r="I263">
        <v>3336</v>
      </c>
      <c r="J263">
        <v>0.22</v>
      </c>
      <c r="K263">
        <v>733.92</v>
      </c>
      <c r="L263">
        <v>4069.92</v>
      </c>
      <c r="M263" t="s">
        <v>541</v>
      </c>
      <c r="N263" t="s">
        <v>545</v>
      </c>
    </row>
    <row r="264" spans="1:14" x14ac:dyDescent="0.3">
      <c r="A264" t="s">
        <v>276</v>
      </c>
      <c r="B264" s="3">
        <v>45811</v>
      </c>
      <c r="C264" t="s">
        <v>516</v>
      </c>
      <c r="D264" t="s">
        <v>528</v>
      </c>
      <c r="E264" t="s">
        <v>535</v>
      </c>
      <c r="F264">
        <v>2</v>
      </c>
      <c r="G264">
        <v>2</v>
      </c>
      <c r="H264">
        <v>300</v>
      </c>
      <c r="I264">
        <v>600</v>
      </c>
      <c r="J264">
        <v>0.22</v>
      </c>
      <c r="K264">
        <v>132</v>
      </c>
      <c r="L264">
        <v>732</v>
      </c>
      <c r="M264" t="s">
        <v>543</v>
      </c>
      <c r="N264" t="s">
        <v>550</v>
      </c>
    </row>
    <row r="265" spans="1:14" x14ac:dyDescent="0.3">
      <c r="A265" t="s">
        <v>277</v>
      </c>
      <c r="B265" s="3">
        <v>45688</v>
      </c>
      <c r="C265" t="s">
        <v>518</v>
      </c>
      <c r="D265" t="s">
        <v>523</v>
      </c>
      <c r="E265" t="s">
        <v>536</v>
      </c>
      <c r="F265">
        <v>32</v>
      </c>
      <c r="G265">
        <v>32</v>
      </c>
      <c r="H265">
        <v>278</v>
      </c>
      <c r="I265">
        <v>8896</v>
      </c>
      <c r="J265">
        <v>0.22</v>
      </c>
      <c r="K265">
        <v>1957.12</v>
      </c>
      <c r="L265">
        <v>10853.12</v>
      </c>
      <c r="M265" t="s">
        <v>542</v>
      </c>
      <c r="N265" t="s">
        <v>551</v>
      </c>
    </row>
    <row r="266" spans="1:14" x14ac:dyDescent="0.3">
      <c r="A266" t="s">
        <v>278</v>
      </c>
      <c r="B266" s="3">
        <v>45538</v>
      </c>
      <c r="C266" t="s">
        <v>520</v>
      </c>
      <c r="D266" t="s">
        <v>526</v>
      </c>
      <c r="E266" t="s">
        <v>536</v>
      </c>
      <c r="F266">
        <v>28</v>
      </c>
      <c r="G266">
        <v>24</v>
      </c>
      <c r="H266">
        <v>199</v>
      </c>
      <c r="I266">
        <v>4776</v>
      </c>
      <c r="J266">
        <v>0</v>
      </c>
      <c r="K266">
        <v>0</v>
      </c>
      <c r="L266">
        <v>4776</v>
      </c>
      <c r="M266" t="s">
        <v>543</v>
      </c>
      <c r="N266" t="s">
        <v>547</v>
      </c>
    </row>
    <row r="267" spans="1:14" x14ac:dyDescent="0.3">
      <c r="A267" t="s">
        <v>279</v>
      </c>
      <c r="B267" s="3">
        <v>45337</v>
      </c>
      <c r="C267" t="s">
        <v>518</v>
      </c>
      <c r="D267" t="s">
        <v>528</v>
      </c>
      <c r="E267" t="s">
        <v>537</v>
      </c>
      <c r="F267">
        <v>55</v>
      </c>
      <c r="G267">
        <v>50</v>
      </c>
      <c r="H267">
        <v>222</v>
      </c>
      <c r="I267">
        <v>11100</v>
      </c>
      <c r="J267">
        <v>0.22</v>
      </c>
      <c r="K267">
        <v>2442</v>
      </c>
      <c r="L267">
        <v>13542</v>
      </c>
      <c r="M267" t="s">
        <v>542</v>
      </c>
      <c r="N267" t="s">
        <v>552</v>
      </c>
    </row>
    <row r="268" spans="1:14" x14ac:dyDescent="0.3">
      <c r="A268" t="s">
        <v>280</v>
      </c>
      <c r="B268" s="3">
        <v>45782</v>
      </c>
      <c r="C268" t="s">
        <v>521</v>
      </c>
      <c r="D268" t="s">
        <v>532</v>
      </c>
      <c r="E268" t="s">
        <v>535</v>
      </c>
      <c r="F268">
        <v>36</v>
      </c>
      <c r="G268">
        <v>33</v>
      </c>
      <c r="H268">
        <v>220</v>
      </c>
      <c r="I268">
        <v>7260</v>
      </c>
      <c r="J268">
        <v>0.22</v>
      </c>
      <c r="K268">
        <v>1597.2</v>
      </c>
      <c r="L268">
        <v>8857.2000000000007</v>
      </c>
      <c r="M268" t="s">
        <v>543</v>
      </c>
      <c r="N268" t="s">
        <v>550</v>
      </c>
    </row>
    <row r="269" spans="1:14" x14ac:dyDescent="0.3">
      <c r="A269" t="s">
        <v>281</v>
      </c>
      <c r="B269" s="3">
        <v>45592</v>
      </c>
      <c r="C269" t="s">
        <v>519</v>
      </c>
      <c r="D269" t="s">
        <v>524</v>
      </c>
      <c r="E269" t="s">
        <v>538</v>
      </c>
      <c r="F269">
        <v>66</v>
      </c>
      <c r="G269">
        <v>61</v>
      </c>
      <c r="H269">
        <v>238</v>
      </c>
      <c r="I269">
        <v>14518</v>
      </c>
      <c r="J269">
        <v>0.22</v>
      </c>
      <c r="K269">
        <v>3193.96</v>
      </c>
      <c r="L269">
        <v>17711.96</v>
      </c>
      <c r="M269" t="s">
        <v>542</v>
      </c>
      <c r="N269" t="s">
        <v>551</v>
      </c>
    </row>
    <row r="270" spans="1:14" x14ac:dyDescent="0.3">
      <c r="A270" t="s">
        <v>282</v>
      </c>
      <c r="B270" s="3">
        <v>45609</v>
      </c>
      <c r="C270" t="s">
        <v>516</v>
      </c>
      <c r="D270" t="s">
        <v>530</v>
      </c>
      <c r="E270" t="s">
        <v>538</v>
      </c>
      <c r="F270">
        <v>41</v>
      </c>
      <c r="G270">
        <v>43</v>
      </c>
      <c r="H270">
        <v>160</v>
      </c>
      <c r="I270">
        <v>6880</v>
      </c>
      <c r="J270">
        <v>0.22</v>
      </c>
      <c r="K270">
        <v>1513.6</v>
      </c>
      <c r="L270">
        <v>8393.6</v>
      </c>
      <c r="M270" t="s">
        <v>543</v>
      </c>
      <c r="N270" t="s">
        <v>550</v>
      </c>
    </row>
    <row r="271" spans="1:14" x14ac:dyDescent="0.3">
      <c r="A271" t="s">
        <v>283</v>
      </c>
      <c r="B271" s="3">
        <v>45487</v>
      </c>
      <c r="C271" t="s">
        <v>522</v>
      </c>
      <c r="D271" t="s">
        <v>531</v>
      </c>
      <c r="E271" t="s">
        <v>538</v>
      </c>
      <c r="F271">
        <v>11</v>
      </c>
      <c r="G271">
        <v>12</v>
      </c>
      <c r="H271">
        <v>126</v>
      </c>
      <c r="I271">
        <v>1512</v>
      </c>
      <c r="J271">
        <v>0.22</v>
      </c>
      <c r="K271">
        <v>332.64</v>
      </c>
      <c r="L271">
        <v>1844.64</v>
      </c>
      <c r="M271" t="s">
        <v>541</v>
      </c>
      <c r="N271" t="s">
        <v>551</v>
      </c>
    </row>
    <row r="272" spans="1:14" x14ac:dyDescent="0.3">
      <c r="A272" t="s">
        <v>284</v>
      </c>
      <c r="B272" s="3">
        <v>45571</v>
      </c>
      <c r="C272" t="s">
        <v>520</v>
      </c>
      <c r="D272" t="s">
        <v>531</v>
      </c>
      <c r="E272" t="s">
        <v>540</v>
      </c>
      <c r="F272">
        <v>73</v>
      </c>
      <c r="G272">
        <v>65</v>
      </c>
      <c r="H272">
        <v>220</v>
      </c>
      <c r="I272">
        <v>14300</v>
      </c>
      <c r="J272">
        <v>0.1</v>
      </c>
      <c r="K272">
        <v>1430</v>
      </c>
      <c r="L272">
        <v>15730</v>
      </c>
      <c r="M272" t="s">
        <v>541</v>
      </c>
      <c r="N272" t="s">
        <v>552</v>
      </c>
    </row>
    <row r="273" spans="1:14" x14ac:dyDescent="0.3">
      <c r="A273" t="s">
        <v>285</v>
      </c>
      <c r="B273" s="3">
        <v>45687</v>
      </c>
      <c r="C273" t="s">
        <v>518</v>
      </c>
      <c r="D273" t="s">
        <v>532</v>
      </c>
      <c r="E273" t="s">
        <v>540</v>
      </c>
      <c r="F273">
        <v>45</v>
      </c>
      <c r="G273">
        <v>40</v>
      </c>
      <c r="H273">
        <v>133</v>
      </c>
      <c r="I273">
        <v>5320</v>
      </c>
      <c r="J273">
        <v>0.22</v>
      </c>
      <c r="K273">
        <v>1170.4000000000001</v>
      </c>
      <c r="L273">
        <v>6490.4</v>
      </c>
      <c r="M273" t="s">
        <v>543</v>
      </c>
      <c r="N273" t="s">
        <v>545</v>
      </c>
    </row>
    <row r="274" spans="1:14" x14ac:dyDescent="0.3">
      <c r="A274" t="s">
        <v>286</v>
      </c>
      <c r="B274" s="3">
        <v>45565</v>
      </c>
      <c r="C274" t="s">
        <v>520</v>
      </c>
      <c r="D274" t="s">
        <v>530</v>
      </c>
      <c r="E274" t="s">
        <v>535</v>
      </c>
      <c r="F274">
        <v>49</v>
      </c>
      <c r="G274">
        <v>43</v>
      </c>
      <c r="H274">
        <v>103</v>
      </c>
      <c r="I274">
        <v>4429</v>
      </c>
      <c r="J274">
        <v>0.22</v>
      </c>
      <c r="K274">
        <v>974.38</v>
      </c>
      <c r="L274">
        <v>5403.38</v>
      </c>
      <c r="M274" t="s">
        <v>542</v>
      </c>
      <c r="N274" t="s">
        <v>545</v>
      </c>
    </row>
    <row r="275" spans="1:14" x14ac:dyDescent="0.3">
      <c r="A275" t="s">
        <v>287</v>
      </c>
      <c r="B275" s="3">
        <v>45592</v>
      </c>
      <c r="C275" t="s">
        <v>518</v>
      </c>
      <c r="D275" t="s">
        <v>527</v>
      </c>
      <c r="E275" t="s">
        <v>535</v>
      </c>
      <c r="F275">
        <v>34</v>
      </c>
      <c r="G275">
        <v>29</v>
      </c>
      <c r="H275">
        <v>200</v>
      </c>
      <c r="I275">
        <v>5800</v>
      </c>
      <c r="J275">
        <v>0.22</v>
      </c>
      <c r="K275">
        <v>1276</v>
      </c>
      <c r="L275">
        <v>7076</v>
      </c>
      <c r="M275" t="s">
        <v>543</v>
      </c>
      <c r="N275" t="s">
        <v>548</v>
      </c>
    </row>
    <row r="276" spans="1:14" x14ac:dyDescent="0.3">
      <c r="A276" t="s">
        <v>288</v>
      </c>
      <c r="B276" s="3">
        <v>45748</v>
      </c>
      <c r="C276" t="s">
        <v>515</v>
      </c>
      <c r="D276" t="s">
        <v>532</v>
      </c>
      <c r="E276" t="s">
        <v>536</v>
      </c>
      <c r="F276">
        <v>12</v>
      </c>
      <c r="G276">
        <v>12</v>
      </c>
      <c r="H276">
        <v>154</v>
      </c>
      <c r="I276">
        <v>1848</v>
      </c>
      <c r="J276">
        <v>0.22</v>
      </c>
      <c r="K276">
        <v>406.56</v>
      </c>
      <c r="L276">
        <v>2254.56</v>
      </c>
      <c r="M276" t="s">
        <v>543</v>
      </c>
      <c r="N276" t="s">
        <v>550</v>
      </c>
    </row>
    <row r="277" spans="1:14" x14ac:dyDescent="0.3">
      <c r="A277" t="s">
        <v>289</v>
      </c>
      <c r="B277" s="3">
        <v>45653</v>
      </c>
      <c r="C277" t="s">
        <v>515</v>
      </c>
      <c r="D277" t="s">
        <v>523</v>
      </c>
      <c r="E277" t="s">
        <v>536</v>
      </c>
      <c r="F277">
        <v>46</v>
      </c>
      <c r="G277">
        <v>46</v>
      </c>
      <c r="H277">
        <v>189</v>
      </c>
      <c r="I277">
        <v>8694</v>
      </c>
      <c r="J277">
        <v>0.1</v>
      </c>
      <c r="K277">
        <v>869.4</v>
      </c>
      <c r="L277">
        <v>9563.4</v>
      </c>
      <c r="M277" t="s">
        <v>542</v>
      </c>
      <c r="N277" t="s">
        <v>544</v>
      </c>
    </row>
    <row r="278" spans="1:14" x14ac:dyDescent="0.3">
      <c r="A278" t="s">
        <v>290</v>
      </c>
      <c r="B278" s="3">
        <v>45707</v>
      </c>
      <c r="C278" t="s">
        <v>518</v>
      </c>
      <c r="D278" t="s">
        <v>528</v>
      </c>
      <c r="E278" t="s">
        <v>538</v>
      </c>
      <c r="F278">
        <v>39</v>
      </c>
      <c r="G278">
        <v>35</v>
      </c>
      <c r="H278">
        <v>274</v>
      </c>
      <c r="I278">
        <v>9590</v>
      </c>
      <c r="J278">
        <v>0.22</v>
      </c>
      <c r="K278">
        <v>2109.8000000000002</v>
      </c>
      <c r="L278">
        <v>11699.8</v>
      </c>
      <c r="M278" t="s">
        <v>542</v>
      </c>
      <c r="N278" t="s">
        <v>550</v>
      </c>
    </row>
    <row r="279" spans="1:14" x14ac:dyDescent="0.3">
      <c r="A279" t="s">
        <v>291</v>
      </c>
      <c r="B279" s="3">
        <v>45438</v>
      </c>
      <c r="C279" t="s">
        <v>517</v>
      </c>
      <c r="D279" t="s">
        <v>524</v>
      </c>
      <c r="E279" t="s">
        <v>534</v>
      </c>
      <c r="F279">
        <v>8</v>
      </c>
      <c r="G279">
        <v>8</v>
      </c>
      <c r="H279">
        <v>152</v>
      </c>
      <c r="I279">
        <v>1216</v>
      </c>
      <c r="J279">
        <v>0.22</v>
      </c>
      <c r="K279">
        <v>267.52</v>
      </c>
      <c r="L279">
        <v>1483.52</v>
      </c>
      <c r="M279" t="s">
        <v>541</v>
      </c>
      <c r="N279" t="s">
        <v>551</v>
      </c>
    </row>
    <row r="280" spans="1:14" x14ac:dyDescent="0.3">
      <c r="A280" t="s">
        <v>292</v>
      </c>
      <c r="B280" s="3">
        <v>45662</v>
      </c>
      <c r="C280" t="s">
        <v>515</v>
      </c>
      <c r="D280" t="s">
        <v>526</v>
      </c>
      <c r="E280" t="s">
        <v>535</v>
      </c>
      <c r="F280">
        <v>28</v>
      </c>
      <c r="G280">
        <v>26</v>
      </c>
      <c r="H280">
        <v>261</v>
      </c>
      <c r="I280">
        <v>6786</v>
      </c>
      <c r="J280">
        <v>0</v>
      </c>
      <c r="K280">
        <v>0</v>
      </c>
      <c r="L280">
        <v>6786</v>
      </c>
      <c r="M280" t="s">
        <v>541</v>
      </c>
      <c r="N280" t="s">
        <v>547</v>
      </c>
    </row>
    <row r="281" spans="1:14" x14ac:dyDescent="0.3">
      <c r="A281" t="s">
        <v>293</v>
      </c>
      <c r="B281" s="3">
        <v>45752</v>
      </c>
      <c r="C281" t="s">
        <v>518</v>
      </c>
      <c r="D281" t="s">
        <v>531</v>
      </c>
      <c r="E281" t="s">
        <v>540</v>
      </c>
      <c r="F281">
        <v>38</v>
      </c>
      <c r="G281">
        <v>34</v>
      </c>
      <c r="H281">
        <v>174</v>
      </c>
      <c r="I281">
        <v>5916</v>
      </c>
      <c r="J281">
        <v>0.22</v>
      </c>
      <c r="K281">
        <v>1301.52</v>
      </c>
      <c r="L281">
        <v>7217.52</v>
      </c>
      <c r="M281" t="s">
        <v>541</v>
      </c>
      <c r="N281" t="s">
        <v>547</v>
      </c>
    </row>
    <row r="282" spans="1:14" x14ac:dyDescent="0.3">
      <c r="A282" t="s">
        <v>294</v>
      </c>
      <c r="B282" s="3">
        <v>45834</v>
      </c>
      <c r="C282" t="s">
        <v>518</v>
      </c>
      <c r="D282" t="s">
        <v>530</v>
      </c>
      <c r="E282" t="s">
        <v>537</v>
      </c>
      <c r="F282">
        <v>8</v>
      </c>
      <c r="G282">
        <v>7</v>
      </c>
      <c r="H282">
        <v>255</v>
      </c>
      <c r="I282">
        <v>1785</v>
      </c>
      <c r="J282">
        <v>0.22</v>
      </c>
      <c r="K282">
        <v>392.7</v>
      </c>
      <c r="L282">
        <v>2177.6999999999998</v>
      </c>
      <c r="M282" t="s">
        <v>542</v>
      </c>
      <c r="N282" t="s">
        <v>544</v>
      </c>
    </row>
    <row r="283" spans="1:14" x14ac:dyDescent="0.3">
      <c r="A283" t="s">
        <v>295</v>
      </c>
      <c r="B283" s="3">
        <v>45318</v>
      </c>
      <c r="C283" t="s">
        <v>521</v>
      </c>
      <c r="D283" t="s">
        <v>533</v>
      </c>
      <c r="E283" t="s">
        <v>539</v>
      </c>
      <c r="F283">
        <v>54</v>
      </c>
      <c r="G283">
        <v>58</v>
      </c>
      <c r="H283">
        <v>173</v>
      </c>
      <c r="I283">
        <v>10034</v>
      </c>
      <c r="J283">
        <v>0.22</v>
      </c>
      <c r="K283">
        <v>2207.48</v>
      </c>
      <c r="L283">
        <v>12241.48</v>
      </c>
      <c r="M283" t="s">
        <v>541</v>
      </c>
      <c r="N283" t="s">
        <v>544</v>
      </c>
    </row>
    <row r="284" spans="1:14" x14ac:dyDescent="0.3">
      <c r="A284" t="s">
        <v>296</v>
      </c>
      <c r="B284" s="3">
        <v>45560</v>
      </c>
      <c r="C284" t="s">
        <v>522</v>
      </c>
      <c r="D284" t="s">
        <v>533</v>
      </c>
      <c r="E284" t="s">
        <v>534</v>
      </c>
      <c r="F284">
        <v>71</v>
      </c>
      <c r="G284">
        <v>75</v>
      </c>
      <c r="H284">
        <v>216</v>
      </c>
      <c r="I284">
        <v>16200</v>
      </c>
      <c r="J284">
        <v>0.1</v>
      </c>
      <c r="K284">
        <v>1620</v>
      </c>
      <c r="L284">
        <v>17820</v>
      </c>
      <c r="M284" t="s">
        <v>543</v>
      </c>
      <c r="N284" t="s">
        <v>552</v>
      </c>
    </row>
    <row r="285" spans="1:14" x14ac:dyDescent="0.3">
      <c r="A285" t="s">
        <v>297</v>
      </c>
      <c r="B285" s="3">
        <v>45496</v>
      </c>
      <c r="C285" t="s">
        <v>520</v>
      </c>
      <c r="D285" t="s">
        <v>532</v>
      </c>
      <c r="E285" t="s">
        <v>538</v>
      </c>
      <c r="F285">
        <v>30</v>
      </c>
      <c r="G285">
        <v>36</v>
      </c>
      <c r="H285">
        <v>276</v>
      </c>
      <c r="I285">
        <v>9936</v>
      </c>
      <c r="J285">
        <v>0.22</v>
      </c>
      <c r="K285">
        <v>2185.92</v>
      </c>
      <c r="L285">
        <v>12121.92</v>
      </c>
      <c r="M285" t="s">
        <v>542</v>
      </c>
      <c r="N285" t="s">
        <v>552</v>
      </c>
    </row>
    <row r="286" spans="1:14" x14ac:dyDescent="0.3">
      <c r="A286" t="s">
        <v>298</v>
      </c>
      <c r="B286" s="3">
        <v>45381</v>
      </c>
      <c r="C286" t="s">
        <v>518</v>
      </c>
      <c r="D286" t="s">
        <v>529</v>
      </c>
      <c r="E286" t="s">
        <v>537</v>
      </c>
      <c r="F286">
        <v>22</v>
      </c>
      <c r="G286">
        <v>21</v>
      </c>
      <c r="H286">
        <v>223</v>
      </c>
      <c r="I286">
        <v>4683</v>
      </c>
      <c r="J286">
        <v>0</v>
      </c>
      <c r="K286">
        <v>0</v>
      </c>
      <c r="L286">
        <v>4683</v>
      </c>
      <c r="M286" t="s">
        <v>541</v>
      </c>
      <c r="N286" t="s">
        <v>544</v>
      </c>
    </row>
    <row r="287" spans="1:14" x14ac:dyDescent="0.3">
      <c r="A287" t="s">
        <v>299</v>
      </c>
      <c r="B287" s="3">
        <v>45589</v>
      </c>
      <c r="C287" t="s">
        <v>522</v>
      </c>
      <c r="D287" t="s">
        <v>532</v>
      </c>
      <c r="E287" t="s">
        <v>536</v>
      </c>
      <c r="F287">
        <v>8</v>
      </c>
      <c r="G287">
        <v>10</v>
      </c>
      <c r="H287">
        <v>160</v>
      </c>
      <c r="I287">
        <v>1600</v>
      </c>
      <c r="J287">
        <v>0.22</v>
      </c>
      <c r="K287">
        <v>352</v>
      </c>
      <c r="L287">
        <v>1952</v>
      </c>
      <c r="M287" t="s">
        <v>541</v>
      </c>
      <c r="N287" t="s">
        <v>547</v>
      </c>
    </row>
    <row r="288" spans="1:14" x14ac:dyDescent="0.3">
      <c r="A288" t="s">
        <v>300</v>
      </c>
      <c r="B288" s="3">
        <v>45662</v>
      </c>
      <c r="C288" t="s">
        <v>516</v>
      </c>
      <c r="D288" t="s">
        <v>525</v>
      </c>
      <c r="E288" t="s">
        <v>535</v>
      </c>
      <c r="F288">
        <v>72</v>
      </c>
      <c r="G288">
        <v>73</v>
      </c>
      <c r="H288">
        <v>211</v>
      </c>
      <c r="I288">
        <v>15403</v>
      </c>
      <c r="J288">
        <v>0.1</v>
      </c>
      <c r="K288">
        <v>1540.3</v>
      </c>
      <c r="L288">
        <v>16943.3</v>
      </c>
      <c r="M288" t="s">
        <v>542</v>
      </c>
      <c r="N288" t="s">
        <v>549</v>
      </c>
    </row>
    <row r="289" spans="1:14" x14ac:dyDescent="0.3">
      <c r="A289" t="s">
        <v>301</v>
      </c>
      <c r="B289" s="3">
        <v>45797</v>
      </c>
      <c r="C289" t="s">
        <v>514</v>
      </c>
      <c r="D289" t="s">
        <v>531</v>
      </c>
      <c r="E289" t="s">
        <v>539</v>
      </c>
      <c r="F289">
        <v>65</v>
      </c>
      <c r="G289">
        <v>64</v>
      </c>
      <c r="H289">
        <v>286</v>
      </c>
      <c r="I289">
        <v>18304</v>
      </c>
      <c r="J289">
        <v>0.22</v>
      </c>
      <c r="K289">
        <v>4026.88</v>
      </c>
      <c r="L289">
        <v>22330.880000000001</v>
      </c>
      <c r="M289" t="s">
        <v>543</v>
      </c>
      <c r="N289" t="s">
        <v>545</v>
      </c>
    </row>
    <row r="290" spans="1:14" x14ac:dyDescent="0.3">
      <c r="A290" t="s">
        <v>302</v>
      </c>
      <c r="B290" s="3">
        <v>45424</v>
      </c>
      <c r="C290" t="s">
        <v>520</v>
      </c>
      <c r="D290" t="s">
        <v>527</v>
      </c>
      <c r="E290" t="s">
        <v>537</v>
      </c>
      <c r="F290">
        <v>45</v>
      </c>
      <c r="G290">
        <v>49</v>
      </c>
      <c r="H290">
        <v>158</v>
      </c>
      <c r="I290">
        <v>7742</v>
      </c>
      <c r="J290">
        <v>0.22</v>
      </c>
      <c r="K290">
        <v>1703.24</v>
      </c>
      <c r="L290">
        <v>9445.24</v>
      </c>
      <c r="M290" t="s">
        <v>541</v>
      </c>
      <c r="N290" t="s">
        <v>552</v>
      </c>
    </row>
    <row r="291" spans="1:14" x14ac:dyDescent="0.3">
      <c r="A291" t="s">
        <v>303</v>
      </c>
      <c r="B291" s="3">
        <v>45830</v>
      </c>
      <c r="C291" t="s">
        <v>515</v>
      </c>
      <c r="D291" t="s">
        <v>530</v>
      </c>
      <c r="E291" t="s">
        <v>538</v>
      </c>
      <c r="F291">
        <v>37</v>
      </c>
      <c r="G291">
        <v>36</v>
      </c>
      <c r="H291">
        <v>269</v>
      </c>
      <c r="I291">
        <v>9684</v>
      </c>
      <c r="J291">
        <v>0.22</v>
      </c>
      <c r="K291">
        <v>2130.48</v>
      </c>
      <c r="L291">
        <v>11814.48</v>
      </c>
      <c r="M291" t="s">
        <v>542</v>
      </c>
      <c r="N291" t="s">
        <v>551</v>
      </c>
    </row>
    <row r="292" spans="1:14" x14ac:dyDescent="0.3">
      <c r="A292" t="s">
        <v>304</v>
      </c>
      <c r="B292" s="3">
        <v>45367</v>
      </c>
      <c r="C292" t="s">
        <v>517</v>
      </c>
      <c r="D292" t="s">
        <v>533</v>
      </c>
      <c r="E292" t="s">
        <v>536</v>
      </c>
      <c r="F292">
        <v>19</v>
      </c>
      <c r="G292">
        <v>24</v>
      </c>
      <c r="H292">
        <v>210</v>
      </c>
      <c r="I292">
        <v>5040</v>
      </c>
      <c r="J292">
        <v>0.22</v>
      </c>
      <c r="K292">
        <v>1108.8</v>
      </c>
      <c r="L292">
        <v>6148.8</v>
      </c>
      <c r="M292" t="s">
        <v>542</v>
      </c>
      <c r="N292" t="s">
        <v>545</v>
      </c>
    </row>
    <row r="293" spans="1:14" x14ac:dyDescent="0.3">
      <c r="A293" t="s">
        <v>305</v>
      </c>
      <c r="B293" s="3">
        <v>45478</v>
      </c>
      <c r="C293" t="s">
        <v>521</v>
      </c>
      <c r="D293" t="s">
        <v>530</v>
      </c>
      <c r="E293" t="s">
        <v>539</v>
      </c>
      <c r="F293">
        <v>51</v>
      </c>
      <c r="G293">
        <v>62</v>
      </c>
      <c r="H293">
        <v>283</v>
      </c>
      <c r="I293">
        <v>17546</v>
      </c>
      <c r="J293">
        <v>0.1</v>
      </c>
      <c r="K293">
        <v>1754.6</v>
      </c>
      <c r="L293">
        <v>19300.599999999999</v>
      </c>
      <c r="M293" t="s">
        <v>542</v>
      </c>
      <c r="N293" t="s">
        <v>544</v>
      </c>
    </row>
    <row r="294" spans="1:14" x14ac:dyDescent="0.3">
      <c r="A294" t="s">
        <v>306</v>
      </c>
      <c r="B294" s="3">
        <v>45822</v>
      </c>
      <c r="C294" t="s">
        <v>521</v>
      </c>
      <c r="D294" t="s">
        <v>523</v>
      </c>
      <c r="E294" t="s">
        <v>534</v>
      </c>
      <c r="F294">
        <v>42</v>
      </c>
      <c r="G294">
        <v>37</v>
      </c>
      <c r="H294">
        <v>71</v>
      </c>
      <c r="I294">
        <v>2627</v>
      </c>
      <c r="J294">
        <v>0.22</v>
      </c>
      <c r="K294">
        <v>577.94000000000005</v>
      </c>
      <c r="L294">
        <v>3204.94</v>
      </c>
      <c r="M294" t="s">
        <v>541</v>
      </c>
      <c r="N294" t="s">
        <v>549</v>
      </c>
    </row>
    <row r="295" spans="1:14" x14ac:dyDescent="0.3">
      <c r="A295" t="s">
        <v>307</v>
      </c>
      <c r="B295" s="3">
        <v>45646</v>
      </c>
      <c r="C295" t="s">
        <v>516</v>
      </c>
      <c r="D295" t="s">
        <v>523</v>
      </c>
      <c r="E295" t="s">
        <v>538</v>
      </c>
      <c r="F295">
        <v>52</v>
      </c>
      <c r="G295">
        <v>55</v>
      </c>
      <c r="H295">
        <v>72</v>
      </c>
      <c r="I295">
        <v>3960</v>
      </c>
      <c r="J295">
        <v>0.22</v>
      </c>
      <c r="K295">
        <v>871.2</v>
      </c>
      <c r="L295">
        <v>4831.2</v>
      </c>
      <c r="M295" t="s">
        <v>542</v>
      </c>
      <c r="N295" t="s">
        <v>545</v>
      </c>
    </row>
    <row r="296" spans="1:14" x14ac:dyDescent="0.3">
      <c r="A296" t="s">
        <v>308</v>
      </c>
      <c r="B296" s="3">
        <v>45573</v>
      </c>
      <c r="C296" t="s">
        <v>521</v>
      </c>
      <c r="D296" t="s">
        <v>529</v>
      </c>
      <c r="E296" t="s">
        <v>537</v>
      </c>
      <c r="F296">
        <v>20</v>
      </c>
      <c r="G296">
        <v>23</v>
      </c>
      <c r="H296">
        <v>276</v>
      </c>
      <c r="I296">
        <v>6348</v>
      </c>
      <c r="J296">
        <v>0</v>
      </c>
      <c r="K296">
        <v>0</v>
      </c>
      <c r="L296">
        <v>6348</v>
      </c>
      <c r="M296" t="s">
        <v>541</v>
      </c>
      <c r="N296" t="s">
        <v>545</v>
      </c>
    </row>
    <row r="297" spans="1:14" x14ac:dyDescent="0.3">
      <c r="A297" t="s">
        <v>309</v>
      </c>
      <c r="B297" s="3">
        <v>45387</v>
      </c>
      <c r="C297" t="s">
        <v>516</v>
      </c>
      <c r="D297" t="s">
        <v>529</v>
      </c>
      <c r="E297" t="s">
        <v>534</v>
      </c>
      <c r="F297">
        <v>30</v>
      </c>
      <c r="G297">
        <v>30</v>
      </c>
      <c r="H297">
        <v>76</v>
      </c>
      <c r="I297">
        <v>2280</v>
      </c>
      <c r="J297">
        <v>0</v>
      </c>
      <c r="K297">
        <v>0</v>
      </c>
      <c r="L297">
        <v>2280</v>
      </c>
      <c r="M297" t="s">
        <v>541</v>
      </c>
      <c r="N297" t="s">
        <v>553</v>
      </c>
    </row>
    <row r="298" spans="1:14" x14ac:dyDescent="0.3">
      <c r="A298" t="s">
        <v>310</v>
      </c>
      <c r="B298" s="3">
        <v>45449</v>
      </c>
      <c r="C298" t="s">
        <v>521</v>
      </c>
      <c r="D298" t="s">
        <v>529</v>
      </c>
      <c r="E298" t="s">
        <v>539</v>
      </c>
      <c r="F298">
        <v>69</v>
      </c>
      <c r="G298">
        <v>62</v>
      </c>
      <c r="H298">
        <v>143</v>
      </c>
      <c r="I298">
        <v>8866</v>
      </c>
      <c r="J298">
        <v>0</v>
      </c>
      <c r="K298">
        <v>0</v>
      </c>
      <c r="L298">
        <v>8866</v>
      </c>
      <c r="M298" t="s">
        <v>541</v>
      </c>
      <c r="N298" t="s">
        <v>553</v>
      </c>
    </row>
    <row r="299" spans="1:14" x14ac:dyDescent="0.3">
      <c r="A299" t="s">
        <v>311</v>
      </c>
      <c r="B299" s="3">
        <v>45637</v>
      </c>
      <c r="C299" t="s">
        <v>514</v>
      </c>
      <c r="D299" t="s">
        <v>524</v>
      </c>
      <c r="E299" t="s">
        <v>535</v>
      </c>
      <c r="F299">
        <v>12</v>
      </c>
      <c r="G299">
        <v>13</v>
      </c>
      <c r="H299">
        <v>246</v>
      </c>
      <c r="I299">
        <v>3198</v>
      </c>
      <c r="J299">
        <v>0.22</v>
      </c>
      <c r="K299">
        <v>703.56</v>
      </c>
      <c r="L299">
        <v>3901.56</v>
      </c>
      <c r="M299" t="s">
        <v>541</v>
      </c>
      <c r="N299" t="s">
        <v>553</v>
      </c>
    </row>
    <row r="300" spans="1:14" x14ac:dyDescent="0.3">
      <c r="A300" t="s">
        <v>312</v>
      </c>
      <c r="B300" s="3">
        <v>45563</v>
      </c>
      <c r="C300" t="s">
        <v>519</v>
      </c>
      <c r="D300" t="s">
        <v>526</v>
      </c>
      <c r="E300" t="s">
        <v>540</v>
      </c>
      <c r="F300">
        <v>20</v>
      </c>
      <c r="G300">
        <v>19</v>
      </c>
      <c r="H300">
        <v>236</v>
      </c>
      <c r="I300">
        <v>4484</v>
      </c>
      <c r="J300">
        <v>0</v>
      </c>
      <c r="K300">
        <v>0</v>
      </c>
      <c r="L300">
        <v>4484</v>
      </c>
      <c r="M300" t="s">
        <v>541</v>
      </c>
      <c r="N300" t="s">
        <v>550</v>
      </c>
    </row>
    <row r="301" spans="1:14" x14ac:dyDescent="0.3">
      <c r="A301" t="s">
        <v>313</v>
      </c>
      <c r="B301" s="3">
        <v>45801</v>
      </c>
      <c r="C301" t="s">
        <v>516</v>
      </c>
      <c r="D301" t="s">
        <v>523</v>
      </c>
      <c r="E301" t="s">
        <v>536</v>
      </c>
      <c r="F301">
        <v>10</v>
      </c>
      <c r="G301">
        <v>12</v>
      </c>
      <c r="H301">
        <v>248</v>
      </c>
      <c r="I301">
        <v>2976</v>
      </c>
      <c r="J301">
        <v>0.1</v>
      </c>
      <c r="K301">
        <v>297.60000000000002</v>
      </c>
      <c r="L301">
        <v>3273.6</v>
      </c>
      <c r="M301" t="s">
        <v>543</v>
      </c>
      <c r="N301" t="s">
        <v>549</v>
      </c>
    </row>
    <row r="302" spans="1:14" x14ac:dyDescent="0.3">
      <c r="A302" t="s">
        <v>314</v>
      </c>
      <c r="B302" s="3">
        <v>45707</v>
      </c>
      <c r="C302" t="s">
        <v>522</v>
      </c>
      <c r="D302" t="s">
        <v>533</v>
      </c>
      <c r="E302" t="s">
        <v>535</v>
      </c>
      <c r="F302">
        <v>16</v>
      </c>
      <c r="G302">
        <v>19</v>
      </c>
      <c r="H302">
        <v>135</v>
      </c>
      <c r="I302">
        <v>2565</v>
      </c>
      <c r="J302">
        <v>0.22</v>
      </c>
      <c r="K302">
        <v>564.29999999999995</v>
      </c>
      <c r="L302">
        <v>3129.3</v>
      </c>
      <c r="M302" t="s">
        <v>542</v>
      </c>
      <c r="N302" t="s">
        <v>552</v>
      </c>
    </row>
    <row r="303" spans="1:14" x14ac:dyDescent="0.3">
      <c r="A303" t="s">
        <v>315</v>
      </c>
      <c r="B303" s="3">
        <v>45717</v>
      </c>
      <c r="C303" t="s">
        <v>517</v>
      </c>
      <c r="D303" t="s">
        <v>533</v>
      </c>
      <c r="E303" t="s">
        <v>534</v>
      </c>
      <c r="F303">
        <v>9</v>
      </c>
      <c r="G303">
        <v>9</v>
      </c>
      <c r="H303">
        <v>258</v>
      </c>
      <c r="I303">
        <v>2322</v>
      </c>
      <c r="J303">
        <v>0.22</v>
      </c>
      <c r="K303">
        <v>510.84</v>
      </c>
      <c r="L303">
        <v>2832.84</v>
      </c>
      <c r="M303" t="s">
        <v>542</v>
      </c>
      <c r="N303" t="s">
        <v>551</v>
      </c>
    </row>
    <row r="304" spans="1:14" x14ac:dyDescent="0.3">
      <c r="A304" t="s">
        <v>316</v>
      </c>
      <c r="B304" s="3">
        <v>45618</v>
      </c>
      <c r="C304" t="s">
        <v>518</v>
      </c>
      <c r="D304" t="s">
        <v>530</v>
      </c>
      <c r="E304" t="s">
        <v>534</v>
      </c>
      <c r="F304">
        <v>28</v>
      </c>
      <c r="G304">
        <v>28</v>
      </c>
      <c r="H304">
        <v>265</v>
      </c>
      <c r="I304">
        <v>7420</v>
      </c>
      <c r="J304">
        <v>0.22</v>
      </c>
      <c r="K304">
        <v>1632.4</v>
      </c>
      <c r="L304">
        <v>9052.4</v>
      </c>
      <c r="M304" t="s">
        <v>541</v>
      </c>
      <c r="N304" t="s">
        <v>545</v>
      </c>
    </row>
    <row r="305" spans="1:14" x14ac:dyDescent="0.3">
      <c r="A305" t="s">
        <v>317</v>
      </c>
      <c r="B305" s="3">
        <v>45400</v>
      </c>
      <c r="C305" t="s">
        <v>518</v>
      </c>
      <c r="D305" t="s">
        <v>525</v>
      </c>
      <c r="E305" t="s">
        <v>540</v>
      </c>
      <c r="F305">
        <v>55</v>
      </c>
      <c r="G305">
        <v>52</v>
      </c>
      <c r="H305">
        <v>142</v>
      </c>
      <c r="I305">
        <v>7384</v>
      </c>
      <c r="J305">
        <v>0.22</v>
      </c>
      <c r="K305">
        <v>1624.48</v>
      </c>
      <c r="L305">
        <v>9008.48</v>
      </c>
      <c r="M305" t="s">
        <v>543</v>
      </c>
      <c r="N305" t="s">
        <v>549</v>
      </c>
    </row>
    <row r="306" spans="1:14" x14ac:dyDescent="0.3">
      <c r="A306" t="s">
        <v>318</v>
      </c>
      <c r="B306" s="3">
        <v>45436</v>
      </c>
      <c r="C306" t="s">
        <v>520</v>
      </c>
      <c r="D306" t="s">
        <v>524</v>
      </c>
      <c r="E306" t="s">
        <v>537</v>
      </c>
      <c r="F306">
        <v>17</v>
      </c>
      <c r="G306">
        <v>16</v>
      </c>
      <c r="H306">
        <v>176</v>
      </c>
      <c r="I306">
        <v>2816</v>
      </c>
      <c r="J306">
        <v>0.1</v>
      </c>
      <c r="K306">
        <v>281.60000000000002</v>
      </c>
      <c r="L306">
        <v>3097.6</v>
      </c>
      <c r="M306" t="s">
        <v>541</v>
      </c>
      <c r="N306" t="s">
        <v>546</v>
      </c>
    </row>
    <row r="307" spans="1:14" x14ac:dyDescent="0.3">
      <c r="A307" t="s">
        <v>319</v>
      </c>
      <c r="B307" s="3">
        <v>45546</v>
      </c>
      <c r="C307" t="s">
        <v>521</v>
      </c>
      <c r="D307" t="s">
        <v>531</v>
      </c>
      <c r="E307" t="s">
        <v>539</v>
      </c>
      <c r="F307">
        <v>82</v>
      </c>
      <c r="G307">
        <v>69</v>
      </c>
      <c r="H307">
        <v>158</v>
      </c>
      <c r="I307">
        <v>10902</v>
      </c>
      <c r="J307">
        <v>0.22</v>
      </c>
      <c r="K307">
        <v>2398.44</v>
      </c>
      <c r="L307">
        <v>13300.44</v>
      </c>
      <c r="M307" t="s">
        <v>542</v>
      </c>
      <c r="N307" t="s">
        <v>547</v>
      </c>
    </row>
    <row r="308" spans="1:14" x14ac:dyDescent="0.3">
      <c r="A308" t="s">
        <v>320</v>
      </c>
      <c r="B308" s="3">
        <v>45802</v>
      </c>
      <c r="C308" t="s">
        <v>516</v>
      </c>
      <c r="D308" t="s">
        <v>533</v>
      </c>
      <c r="E308" t="s">
        <v>540</v>
      </c>
      <c r="F308">
        <v>12</v>
      </c>
      <c r="G308">
        <v>12</v>
      </c>
      <c r="H308">
        <v>84</v>
      </c>
      <c r="I308">
        <v>1008</v>
      </c>
      <c r="J308">
        <v>0.1</v>
      </c>
      <c r="K308">
        <v>100.8</v>
      </c>
      <c r="L308">
        <v>1108.8</v>
      </c>
      <c r="M308" t="s">
        <v>543</v>
      </c>
      <c r="N308" t="s">
        <v>550</v>
      </c>
    </row>
    <row r="309" spans="1:14" x14ac:dyDescent="0.3">
      <c r="A309" t="s">
        <v>321</v>
      </c>
      <c r="B309" s="3">
        <v>45384</v>
      </c>
      <c r="C309" t="s">
        <v>515</v>
      </c>
      <c r="D309" t="s">
        <v>528</v>
      </c>
      <c r="E309" t="s">
        <v>540</v>
      </c>
      <c r="F309">
        <v>48</v>
      </c>
      <c r="G309">
        <v>52</v>
      </c>
      <c r="H309">
        <v>182</v>
      </c>
      <c r="I309">
        <v>9464</v>
      </c>
      <c r="J309">
        <v>0.1</v>
      </c>
      <c r="K309">
        <v>946.4</v>
      </c>
      <c r="L309">
        <v>10410.4</v>
      </c>
      <c r="M309" t="s">
        <v>542</v>
      </c>
      <c r="N309" t="s">
        <v>553</v>
      </c>
    </row>
    <row r="310" spans="1:14" x14ac:dyDescent="0.3">
      <c r="A310" t="s">
        <v>322</v>
      </c>
      <c r="B310" s="3">
        <v>45653</v>
      </c>
      <c r="C310" t="s">
        <v>514</v>
      </c>
      <c r="D310" t="s">
        <v>524</v>
      </c>
      <c r="E310" t="s">
        <v>537</v>
      </c>
      <c r="F310">
        <v>59</v>
      </c>
      <c r="G310">
        <v>53</v>
      </c>
      <c r="H310">
        <v>210</v>
      </c>
      <c r="I310">
        <v>11130</v>
      </c>
      <c r="J310">
        <v>0.22</v>
      </c>
      <c r="K310">
        <v>2448.6</v>
      </c>
      <c r="L310">
        <v>13578.6</v>
      </c>
      <c r="M310" t="s">
        <v>541</v>
      </c>
      <c r="N310" t="s">
        <v>552</v>
      </c>
    </row>
    <row r="311" spans="1:14" x14ac:dyDescent="0.3">
      <c r="A311" t="s">
        <v>323</v>
      </c>
      <c r="B311" s="3">
        <v>45584</v>
      </c>
      <c r="C311" t="s">
        <v>516</v>
      </c>
      <c r="D311" t="s">
        <v>524</v>
      </c>
      <c r="E311" t="s">
        <v>538</v>
      </c>
      <c r="F311">
        <v>15</v>
      </c>
      <c r="G311">
        <v>16</v>
      </c>
      <c r="H311">
        <v>116</v>
      </c>
      <c r="I311">
        <v>1856</v>
      </c>
      <c r="J311">
        <v>0.22</v>
      </c>
      <c r="K311">
        <v>408.32</v>
      </c>
      <c r="L311">
        <v>2264.3200000000002</v>
      </c>
      <c r="M311" t="s">
        <v>542</v>
      </c>
      <c r="N311" t="s">
        <v>548</v>
      </c>
    </row>
    <row r="312" spans="1:14" x14ac:dyDescent="0.3">
      <c r="A312" t="s">
        <v>324</v>
      </c>
      <c r="B312" s="3">
        <v>45666</v>
      </c>
      <c r="C312" t="s">
        <v>515</v>
      </c>
      <c r="D312" t="s">
        <v>531</v>
      </c>
      <c r="E312" t="s">
        <v>535</v>
      </c>
      <c r="F312">
        <v>38</v>
      </c>
      <c r="G312">
        <v>39</v>
      </c>
      <c r="H312">
        <v>168</v>
      </c>
      <c r="I312">
        <v>6552</v>
      </c>
      <c r="J312">
        <v>0.22</v>
      </c>
      <c r="K312">
        <v>1441.44</v>
      </c>
      <c r="L312">
        <v>7993.4400000000014</v>
      </c>
      <c r="M312" t="s">
        <v>541</v>
      </c>
      <c r="N312" t="s">
        <v>545</v>
      </c>
    </row>
    <row r="313" spans="1:14" x14ac:dyDescent="0.3">
      <c r="A313" t="s">
        <v>325</v>
      </c>
      <c r="B313" s="3">
        <v>45491</v>
      </c>
      <c r="C313" t="s">
        <v>518</v>
      </c>
      <c r="D313" t="s">
        <v>528</v>
      </c>
      <c r="E313" t="s">
        <v>537</v>
      </c>
      <c r="F313">
        <v>44</v>
      </c>
      <c r="G313">
        <v>53</v>
      </c>
      <c r="H313">
        <v>101</v>
      </c>
      <c r="I313">
        <v>5353</v>
      </c>
      <c r="J313">
        <v>0.22</v>
      </c>
      <c r="K313">
        <v>1177.6600000000001</v>
      </c>
      <c r="L313">
        <v>6530.66</v>
      </c>
      <c r="M313" t="s">
        <v>541</v>
      </c>
      <c r="N313" t="s">
        <v>552</v>
      </c>
    </row>
    <row r="314" spans="1:14" x14ac:dyDescent="0.3">
      <c r="A314" t="s">
        <v>326</v>
      </c>
      <c r="B314" s="3">
        <v>45578</v>
      </c>
      <c r="C314" t="s">
        <v>520</v>
      </c>
      <c r="D314" t="s">
        <v>532</v>
      </c>
      <c r="E314" t="s">
        <v>535</v>
      </c>
      <c r="F314">
        <v>47</v>
      </c>
      <c r="G314">
        <v>58</v>
      </c>
      <c r="H314">
        <v>226</v>
      </c>
      <c r="I314">
        <v>13108</v>
      </c>
      <c r="J314">
        <v>0.22</v>
      </c>
      <c r="K314">
        <v>2883.76</v>
      </c>
      <c r="L314">
        <v>15991.76</v>
      </c>
      <c r="M314" t="s">
        <v>543</v>
      </c>
      <c r="N314" t="s">
        <v>545</v>
      </c>
    </row>
    <row r="315" spans="1:14" x14ac:dyDescent="0.3">
      <c r="A315" t="s">
        <v>327</v>
      </c>
      <c r="B315" s="3">
        <v>45666</v>
      </c>
      <c r="C315" t="s">
        <v>521</v>
      </c>
      <c r="D315" t="s">
        <v>525</v>
      </c>
      <c r="E315" t="s">
        <v>539</v>
      </c>
      <c r="F315">
        <v>17</v>
      </c>
      <c r="G315">
        <v>14</v>
      </c>
      <c r="H315">
        <v>282</v>
      </c>
      <c r="I315">
        <v>3948</v>
      </c>
      <c r="J315">
        <v>0.22</v>
      </c>
      <c r="K315">
        <v>868.56</v>
      </c>
      <c r="L315">
        <v>4816.5599999999986</v>
      </c>
      <c r="M315" t="s">
        <v>541</v>
      </c>
      <c r="N315" t="s">
        <v>550</v>
      </c>
    </row>
    <row r="316" spans="1:14" x14ac:dyDescent="0.3">
      <c r="A316" t="s">
        <v>328</v>
      </c>
      <c r="B316" s="3">
        <v>45338</v>
      </c>
      <c r="C316" t="s">
        <v>514</v>
      </c>
      <c r="D316" t="s">
        <v>532</v>
      </c>
      <c r="E316" t="s">
        <v>536</v>
      </c>
      <c r="F316">
        <v>6</v>
      </c>
      <c r="G316">
        <v>5</v>
      </c>
      <c r="H316">
        <v>222</v>
      </c>
      <c r="I316">
        <v>1110</v>
      </c>
      <c r="J316">
        <v>0.22</v>
      </c>
      <c r="K316">
        <v>244.2</v>
      </c>
      <c r="L316">
        <v>1354.2</v>
      </c>
      <c r="M316" t="s">
        <v>543</v>
      </c>
      <c r="N316" t="s">
        <v>545</v>
      </c>
    </row>
    <row r="317" spans="1:14" x14ac:dyDescent="0.3">
      <c r="A317" t="s">
        <v>329</v>
      </c>
      <c r="B317" s="3">
        <v>45759</v>
      </c>
      <c r="C317" t="s">
        <v>521</v>
      </c>
      <c r="D317" t="s">
        <v>526</v>
      </c>
      <c r="E317" t="s">
        <v>539</v>
      </c>
      <c r="F317">
        <v>81</v>
      </c>
      <c r="G317">
        <v>75</v>
      </c>
      <c r="H317">
        <v>205</v>
      </c>
      <c r="I317">
        <v>15375</v>
      </c>
      <c r="J317">
        <v>0</v>
      </c>
      <c r="K317">
        <v>0</v>
      </c>
      <c r="L317">
        <v>15375</v>
      </c>
      <c r="M317" t="s">
        <v>542</v>
      </c>
      <c r="N317" t="s">
        <v>551</v>
      </c>
    </row>
    <row r="318" spans="1:14" x14ac:dyDescent="0.3">
      <c r="A318" t="s">
        <v>330</v>
      </c>
      <c r="B318" s="3">
        <v>45618</v>
      </c>
      <c r="C318" t="s">
        <v>521</v>
      </c>
      <c r="D318" t="s">
        <v>530</v>
      </c>
      <c r="E318" t="s">
        <v>539</v>
      </c>
      <c r="F318">
        <v>73</v>
      </c>
      <c r="G318">
        <v>76</v>
      </c>
      <c r="H318">
        <v>68</v>
      </c>
      <c r="I318">
        <v>5168</v>
      </c>
      <c r="J318">
        <v>0.22</v>
      </c>
      <c r="K318">
        <v>1136.96</v>
      </c>
      <c r="L318">
        <v>6304.96</v>
      </c>
      <c r="M318" t="s">
        <v>543</v>
      </c>
      <c r="N318" t="s">
        <v>553</v>
      </c>
    </row>
    <row r="319" spans="1:14" x14ac:dyDescent="0.3">
      <c r="A319" t="s">
        <v>331</v>
      </c>
      <c r="B319" s="3">
        <v>45636</v>
      </c>
      <c r="C319" t="s">
        <v>516</v>
      </c>
      <c r="D319" t="s">
        <v>528</v>
      </c>
      <c r="E319" t="s">
        <v>539</v>
      </c>
      <c r="F319">
        <v>64</v>
      </c>
      <c r="G319">
        <v>74</v>
      </c>
      <c r="H319">
        <v>245</v>
      </c>
      <c r="I319">
        <v>18130</v>
      </c>
      <c r="J319">
        <v>0.22</v>
      </c>
      <c r="K319">
        <v>3988.6</v>
      </c>
      <c r="L319">
        <v>22118.6</v>
      </c>
      <c r="M319" t="s">
        <v>541</v>
      </c>
      <c r="N319" t="s">
        <v>548</v>
      </c>
    </row>
    <row r="320" spans="1:14" x14ac:dyDescent="0.3">
      <c r="A320" t="s">
        <v>332</v>
      </c>
      <c r="B320" s="3">
        <v>45778</v>
      </c>
      <c r="C320" t="s">
        <v>514</v>
      </c>
      <c r="D320" t="s">
        <v>531</v>
      </c>
      <c r="E320" t="s">
        <v>537</v>
      </c>
      <c r="F320">
        <v>15</v>
      </c>
      <c r="G320">
        <v>17</v>
      </c>
      <c r="H320">
        <v>289</v>
      </c>
      <c r="I320">
        <v>4913</v>
      </c>
      <c r="J320">
        <v>0.22</v>
      </c>
      <c r="K320">
        <v>1080.8599999999999</v>
      </c>
      <c r="L320">
        <v>5993.86</v>
      </c>
      <c r="M320" t="s">
        <v>543</v>
      </c>
      <c r="N320" t="s">
        <v>553</v>
      </c>
    </row>
    <row r="321" spans="1:14" x14ac:dyDescent="0.3">
      <c r="A321" t="s">
        <v>333</v>
      </c>
      <c r="B321" s="3">
        <v>45607</v>
      </c>
      <c r="C321" t="s">
        <v>514</v>
      </c>
      <c r="D321" t="s">
        <v>526</v>
      </c>
      <c r="E321" t="s">
        <v>540</v>
      </c>
      <c r="F321">
        <v>6</v>
      </c>
      <c r="G321">
        <v>7</v>
      </c>
      <c r="H321">
        <v>233</v>
      </c>
      <c r="I321">
        <v>1631</v>
      </c>
      <c r="J321">
        <v>0</v>
      </c>
      <c r="K321">
        <v>0</v>
      </c>
      <c r="L321">
        <v>1631</v>
      </c>
      <c r="M321" t="s">
        <v>543</v>
      </c>
      <c r="N321" t="s">
        <v>553</v>
      </c>
    </row>
    <row r="322" spans="1:14" x14ac:dyDescent="0.3">
      <c r="A322" t="s">
        <v>334</v>
      </c>
      <c r="B322" s="3">
        <v>45525</v>
      </c>
      <c r="C322" t="s">
        <v>514</v>
      </c>
      <c r="D322" t="s">
        <v>526</v>
      </c>
      <c r="E322" t="s">
        <v>540</v>
      </c>
      <c r="F322">
        <v>13</v>
      </c>
      <c r="G322">
        <v>13</v>
      </c>
      <c r="H322">
        <v>227</v>
      </c>
      <c r="I322">
        <v>2951</v>
      </c>
      <c r="J322">
        <v>0</v>
      </c>
      <c r="K322">
        <v>0</v>
      </c>
      <c r="L322">
        <v>2951</v>
      </c>
      <c r="M322" t="s">
        <v>542</v>
      </c>
      <c r="N322" t="s">
        <v>545</v>
      </c>
    </row>
    <row r="323" spans="1:14" x14ac:dyDescent="0.3">
      <c r="A323" t="s">
        <v>335</v>
      </c>
      <c r="B323" s="3">
        <v>45681</v>
      </c>
      <c r="C323" t="s">
        <v>521</v>
      </c>
      <c r="D323" t="s">
        <v>529</v>
      </c>
      <c r="E323" t="s">
        <v>534</v>
      </c>
      <c r="F323">
        <v>46</v>
      </c>
      <c r="G323">
        <v>42</v>
      </c>
      <c r="H323">
        <v>196</v>
      </c>
      <c r="I323">
        <v>8232</v>
      </c>
      <c r="J323">
        <v>0</v>
      </c>
      <c r="K323">
        <v>0</v>
      </c>
      <c r="L323">
        <v>8232</v>
      </c>
      <c r="M323" t="s">
        <v>542</v>
      </c>
      <c r="N323" t="s">
        <v>553</v>
      </c>
    </row>
    <row r="324" spans="1:14" x14ac:dyDescent="0.3">
      <c r="A324" t="s">
        <v>336</v>
      </c>
      <c r="B324" s="3">
        <v>45404</v>
      </c>
      <c r="C324" t="s">
        <v>519</v>
      </c>
      <c r="D324" t="s">
        <v>524</v>
      </c>
      <c r="E324" t="s">
        <v>540</v>
      </c>
      <c r="F324">
        <v>53</v>
      </c>
      <c r="G324">
        <v>50</v>
      </c>
      <c r="H324">
        <v>86</v>
      </c>
      <c r="I324">
        <v>4300</v>
      </c>
      <c r="J324">
        <v>0.22</v>
      </c>
      <c r="K324">
        <v>946</v>
      </c>
      <c r="L324">
        <v>5246</v>
      </c>
      <c r="M324" t="s">
        <v>542</v>
      </c>
      <c r="N324" t="s">
        <v>546</v>
      </c>
    </row>
    <row r="325" spans="1:14" x14ac:dyDescent="0.3">
      <c r="A325" t="s">
        <v>337</v>
      </c>
      <c r="B325" s="3">
        <v>45500</v>
      </c>
      <c r="C325" t="s">
        <v>515</v>
      </c>
      <c r="D325" t="s">
        <v>528</v>
      </c>
      <c r="E325" t="s">
        <v>538</v>
      </c>
      <c r="F325">
        <v>60</v>
      </c>
      <c r="G325">
        <v>66</v>
      </c>
      <c r="H325">
        <v>64</v>
      </c>
      <c r="I325">
        <v>4224</v>
      </c>
      <c r="J325">
        <v>0.22</v>
      </c>
      <c r="K325">
        <v>929.28</v>
      </c>
      <c r="L325">
        <v>5153.28</v>
      </c>
      <c r="M325" t="s">
        <v>543</v>
      </c>
      <c r="N325" t="s">
        <v>550</v>
      </c>
    </row>
    <row r="326" spans="1:14" x14ac:dyDescent="0.3">
      <c r="A326" t="s">
        <v>338</v>
      </c>
      <c r="B326" s="3">
        <v>45433</v>
      </c>
      <c r="C326" t="s">
        <v>516</v>
      </c>
      <c r="D326" t="s">
        <v>525</v>
      </c>
      <c r="E326" t="s">
        <v>539</v>
      </c>
      <c r="F326">
        <v>34</v>
      </c>
      <c r="G326">
        <v>29</v>
      </c>
      <c r="H326">
        <v>224</v>
      </c>
      <c r="I326">
        <v>6496</v>
      </c>
      <c r="J326">
        <v>0.22</v>
      </c>
      <c r="K326">
        <v>1429.12</v>
      </c>
      <c r="L326">
        <v>7925.12</v>
      </c>
      <c r="M326" t="s">
        <v>541</v>
      </c>
      <c r="N326" t="s">
        <v>552</v>
      </c>
    </row>
    <row r="327" spans="1:14" x14ac:dyDescent="0.3">
      <c r="A327" t="s">
        <v>339</v>
      </c>
      <c r="B327" s="3">
        <v>45830</v>
      </c>
      <c r="C327" t="s">
        <v>515</v>
      </c>
      <c r="D327" t="s">
        <v>531</v>
      </c>
      <c r="E327" t="s">
        <v>534</v>
      </c>
      <c r="F327">
        <v>42</v>
      </c>
      <c r="G327">
        <v>38</v>
      </c>
      <c r="H327">
        <v>142</v>
      </c>
      <c r="I327">
        <v>5396</v>
      </c>
      <c r="J327">
        <v>0.22</v>
      </c>
      <c r="K327">
        <v>1187.1199999999999</v>
      </c>
      <c r="L327">
        <v>6583.12</v>
      </c>
      <c r="M327" t="s">
        <v>541</v>
      </c>
      <c r="N327" t="s">
        <v>551</v>
      </c>
    </row>
    <row r="328" spans="1:14" x14ac:dyDescent="0.3">
      <c r="A328" t="s">
        <v>340</v>
      </c>
      <c r="B328" s="3">
        <v>45654</v>
      </c>
      <c r="C328" t="s">
        <v>522</v>
      </c>
      <c r="D328" t="s">
        <v>526</v>
      </c>
      <c r="E328" t="s">
        <v>540</v>
      </c>
      <c r="F328">
        <v>8</v>
      </c>
      <c r="G328">
        <v>8</v>
      </c>
      <c r="H328">
        <v>299</v>
      </c>
      <c r="I328">
        <v>2392</v>
      </c>
      <c r="J328">
        <v>0</v>
      </c>
      <c r="K328">
        <v>0</v>
      </c>
      <c r="L328">
        <v>2392</v>
      </c>
      <c r="M328" t="s">
        <v>542</v>
      </c>
      <c r="N328" t="s">
        <v>549</v>
      </c>
    </row>
    <row r="329" spans="1:14" x14ac:dyDescent="0.3">
      <c r="A329" t="s">
        <v>341</v>
      </c>
      <c r="B329" s="3">
        <v>45577</v>
      </c>
      <c r="C329" t="s">
        <v>516</v>
      </c>
      <c r="D329" t="s">
        <v>523</v>
      </c>
      <c r="E329" t="s">
        <v>534</v>
      </c>
      <c r="F329">
        <v>68</v>
      </c>
      <c r="G329">
        <v>65</v>
      </c>
      <c r="H329">
        <v>145</v>
      </c>
      <c r="I329">
        <v>9425</v>
      </c>
      <c r="J329">
        <v>0.1</v>
      </c>
      <c r="K329">
        <v>942.5</v>
      </c>
      <c r="L329">
        <v>10367.5</v>
      </c>
      <c r="M329" t="s">
        <v>543</v>
      </c>
      <c r="N329" t="s">
        <v>548</v>
      </c>
    </row>
    <row r="330" spans="1:14" x14ac:dyDescent="0.3">
      <c r="A330" t="s">
        <v>342</v>
      </c>
      <c r="B330" s="3">
        <v>45504</v>
      </c>
      <c r="C330" t="s">
        <v>517</v>
      </c>
      <c r="D330" t="s">
        <v>531</v>
      </c>
      <c r="E330" t="s">
        <v>540</v>
      </c>
      <c r="F330">
        <v>16</v>
      </c>
      <c r="G330">
        <v>17</v>
      </c>
      <c r="H330">
        <v>130</v>
      </c>
      <c r="I330">
        <v>2210</v>
      </c>
      <c r="J330">
        <v>0.22</v>
      </c>
      <c r="K330">
        <v>486.2</v>
      </c>
      <c r="L330">
        <v>2696.2</v>
      </c>
      <c r="M330" t="s">
        <v>541</v>
      </c>
      <c r="N330" t="s">
        <v>548</v>
      </c>
    </row>
    <row r="331" spans="1:14" x14ac:dyDescent="0.3">
      <c r="A331" t="s">
        <v>343</v>
      </c>
      <c r="B331" s="3">
        <v>45586</v>
      </c>
      <c r="C331" t="s">
        <v>520</v>
      </c>
      <c r="D331" t="s">
        <v>526</v>
      </c>
      <c r="E331" t="s">
        <v>536</v>
      </c>
      <c r="F331">
        <v>40</v>
      </c>
      <c r="G331">
        <v>45</v>
      </c>
      <c r="H331">
        <v>191</v>
      </c>
      <c r="I331">
        <v>8595</v>
      </c>
      <c r="J331">
        <v>0</v>
      </c>
      <c r="K331">
        <v>0</v>
      </c>
      <c r="L331">
        <v>8595</v>
      </c>
      <c r="M331" t="s">
        <v>541</v>
      </c>
      <c r="N331" t="s">
        <v>546</v>
      </c>
    </row>
    <row r="332" spans="1:14" x14ac:dyDescent="0.3">
      <c r="A332" t="s">
        <v>344</v>
      </c>
      <c r="B332" s="3">
        <v>45696</v>
      </c>
      <c r="C332" t="s">
        <v>518</v>
      </c>
      <c r="D332" t="s">
        <v>532</v>
      </c>
      <c r="E332" t="s">
        <v>537</v>
      </c>
      <c r="F332">
        <v>34</v>
      </c>
      <c r="G332">
        <v>36</v>
      </c>
      <c r="H332">
        <v>129</v>
      </c>
      <c r="I332">
        <v>4644</v>
      </c>
      <c r="J332">
        <v>0.22</v>
      </c>
      <c r="K332">
        <v>1021.68</v>
      </c>
      <c r="L332">
        <v>5665.68</v>
      </c>
      <c r="M332" t="s">
        <v>541</v>
      </c>
      <c r="N332" t="s">
        <v>544</v>
      </c>
    </row>
    <row r="333" spans="1:14" x14ac:dyDescent="0.3">
      <c r="A333" t="s">
        <v>345</v>
      </c>
      <c r="B333" s="3">
        <v>45646</v>
      </c>
      <c r="C333" t="s">
        <v>517</v>
      </c>
      <c r="D333" t="s">
        <v>529</v>
      </c>
      <c r="E333" t="s">
        <v>537</v>
      </c>
      <c r="F333">
        <v>34</v>
      </c>
      <c r="G333">
        <v>31</v>
      </c>
      <c r="H333">
        <v>78</v>
      </c>
      <c r="I333">
        <v>2418</v>
      </c>
      <c r="J333">
        <v>0</v>
      </c>
      <c r="K333">
        <v>0</v>
      </c>
      <c r="L333">
        <v>2418</v>
      </c>
      <c r="M333" t="s">
        <v>541</v>
      </c>
      <c r="N333" t="s">
        <v>552</v>
      </c>
    </row>
    <row r="334" spans="1:14" x14ac:dyDescent="0.3">
      <c r="A334" t="s">
        <v>346</v>
      </c>
      <c r="B334" s="3">
        <v>45511</v>
      </c>
      <c r="C334" t="s">
        <v>519</v>
      </c>
      <c r="D334" t="s">
        <v>528</v>
      </c>
      <c r="E334" t="s">
        <v>537</v>
      </c>
      <c r="F334">
        <v>49</v>
      </c>
      <c r="G334">
        <v>61</v>
      </c>
      <c r="H334">
        <v>167</v>
      </c>
      <c r="I334">
        <v>10187</v>
      </c>
      <c r="J334">
        <v>0.1</v>
      </c>
      <c r="K334">
        <v>1018.7</v>
      </c>
      <c r="L334">
        <v>11205.7</v>
      </c>
      <c r="M334" t="s">
        <v>541</v>
      </c>
      <c r="N334" t="s">
        <v>548</v>
      </c>
    </row>
    <row r="335" spans="1:14" x14ac:dyDescent="0.3">
      <c r="A335" t="s">
        <v>347</v>
      </c>
      <c r="B335" s="3">
        <v>45432</v>
      </c>
      <c r="C335" t="s">
        <v>520</v>
      </c>
      <c r="D335" t="s">
        <v>526</v>
      </c>
      <c r="E335" t="s">
        <v>536</v>
      </c>
      <c r="F335">
        <v>46</v>
      </c>
      <c r="G335">
        <v>54</v>
      </c>
      <c r="H335">
        <v>226</v>
      </c>
      <c r="I335">
        <v>12204</v>
      </c>
      <c r="J335">
        <v>0</v>
      </c>
      <c r="K335">
        <v>0</v>
      </c>
      <c r="L335">
        <v>12204</v>
      </c>
      <c r="M335" t="s">
        <v>541</v>
      </c>
      <c r="N335" t="s">
        <v>549</v>
      </c>
    </row>
    <row r="336" spans="1:14" x14ac:dyDescent="0.3">
      <c r="A336" t="s">
        <v>348</v>
      </c>
      <c r="B336" s="3">
        <v>45540</v>
      </c>
      <c r="C336" t="s">
        <v>514</v>
      </c>
      <c r="D336" t="s">
        <v>529</v>
      </c>
      <c r="E336" t="s">
        <v>539</v>
      </c>
      <c r="F336">
        <v>61</v>
      </c>
      <c r="G336">
        <v>74</v>
      </c>
      <c r="H336">
        <v>149</v>
      </c>
      <c r="I336">
        <v>11026</v>
      </c>
      <c r="J336">
        <v>0</v>
      </c>
      <c r="K336">
        <v>0</v>
      </c>
      <c r="L336">
        <v>11026</v>
      </c>
      <c r="M336" t="s">
        <v>542</v>
      </c>
      <c r="N336" t="s">
        <v>549</v>
      </c>
    </row>
    <row r="337" spans="1:14" x14ac:dyDescent="0.3">
      <c r="A337" t="s">
        <v>349</v>
      </c>
      <c r="B337" s="3">
        <v>45345</v>
      </c>
      <c r="C337" t="s">
        <v>520</v>
      </c>
      <c r="D337" t="s">
        <v>530</v>
      </c>
      <c r="E337" t="s">
        <v>537</v>
      </c>
      <c r="F337">
        <v>16</v>
      </c>
      <c r="G337">
        <v>19</v>
      </c>
      <c r="H337">
        <v>98</v>
      </c>
      <c r="I337">
        <v>1862</v>
      </c>
      <c r="J337">
        <v>0.22</v>
      </c>
      <c r="K337">
        <v>409.64</v>
      </c>
      <c r="L337">
        <v>2271.64</v>
      </c>
      <c r="M337" t="s">
        <v>542</v>
      </c>
      <c r="N337" t="s">
        <v>547</v>
      </c>
    </row>
    <row r="338" spans="1:14" x14ac:dyDescent="0.3">
      <c r="A338" t="s">
        <v>350</v>
      </c>
      <c r="B338" s="3">
        <v>45297</v>
      </c>
      <c r="C338" t="s">
        <v>516</v>
      </c>
      <c r="D338" t="s">
        <v>532</v>
      </c>
      <c r="E338" t="s">
        <v>540</v>
      </c>
      <c r="F338">
        <v>77</v>
      </c>
      <c r="G338">
        <v>67</v>
      </c>
      <c r="H338">
        <v>232</v>
      </c>
      <c r="I338">
        <v>15544</v>
      </c>
      <c r="J338">
        <v>0.22</v>
      </c>
      <c r="K338">
        <v>3419.68</v>
      </c>
      <c r="L338">
        <v>18963.68</v>
      </c>
      <c r="M338" t="s">
        <v>543</v>
      </c>
      <c r="N338" t="s">
        <v>552</v>
      </c>
    </row>
    <row r="339" spans="1:14" x14ac:dyDescent="0.3">
      <c r="A339" t="s">
        <v>351</v>
      </c>
      <c r="B339" s="3">
        <v>45496</v>
      </c>
      <c r="C339" t="s">
        <v>522</v>
      </c>
      <c r="D339" t="s">
        <v>531</v>
      </c>
      <c r="E339" t="s">
        <v>537</v>
      </c>
      <c r="F339">
        <v>14</v>
      </c>
      <c r="G339">
        <v>13</v>
      </c>
      <c r="H339">
        <v>279</v>
      </c>
      <c r="I339">
        <v>3627</v>
      </c>
      <c r="J339">
        <v>0.22</v>
      </c>
      <c r="K339">
        <v>797.94</v>
      </c>
      <c r="L339">
        <v>4424.9400000000014</v>
      </c>
      <c r="M339" t="s">
        <v>542</v>
      </c>
      <c r="N339" t="s">
        <v>553</v>
      </c>
    </row>
    <row r="340" spans="1:14" x14ac:dyDescent="0.3">
      <c r="A340" t="s">
        <v>352</v>
      </c>
      <c r="B340" s="3">
        <v>45529</v>
      </c>
      <c r="C340" t="s">
        <v>516</v>
      </c>
      <c r="D340" t="s">
        <v>524</v>
      </c>
      <c r="E340" t="s">
        <v>534</v>
      </c>
      <c r="F340">
        <v>57</v>
      </c>
      <c r="G340">
        <v>58</v>
      </c>
      <c r="H340">
        <v>207</v>
      </c>
      <c r="I340">
        <v>12006</v>
      </c>
      <c r="J340">
        <v>0.22</v>
      </c>
      <c r="K340">
        <v>2641.32</v>
      </c>
      <c r="L340">
        <v>14647.32</v>
      </c>
      <c r="M340" t="s">
        <v>542</v>
      </c>
      <c r="N340" t="s">
        <v>550</v>
      </c>
    </row>
    <row r="341" spans="1:14" x14ac:dyDescent="0.3">
      <c r="A341" t="s">
        <v>353</v>
      </c>
      <c r="B341" s="3">
        <v>45698</v>
      </c>
      <c r="C341" t="s">
        <v>517</v>
      </c>
      <c r="D341" t="s">
        <v>532</v>
      </c>
      <c r="E341" t="s">
        <v>536</v>
      </c>
      <c r="F341">
        <v>60</v>
      </c>
      <c r="G341">
        <v>72</v>
      </c>
      <c r="H341">
        <v>120</v>
      </c>
      <c r="I341">
        <v>8640</v>
      </c>
      <c r="J341">
        <v>0.1</v>
      </c>
      <c r="K341">
        <v>864</v>
      </c>
      <c r="L341">
        <v>9504</v>
      </c>
      <c r="M341" t="s">
        <v>543</v>
      </c>
      <c r="N341" t="s">
        <v>550</v>
      </c>
    </row>
    <row r="342" spans="1:14" x14ac:dyDescent="0.3">
      <c r="A342" t="s">
        <v>354</v>
      </c>
      <c r="B342" s="3">
        <v>45301</v>
      </c>
      <c r="C342" t="s">
        <v>522</v>
      </c>
      <c r="D342" t="s">
        <v>526</v>
      </c>
      <c r="E342" t="s">
        <v>539</v>
      </c>
      <c r="F342">
        <v>39</v>
      </c>
      <c r="G342">
        <v>39</v>
      </c>
      <c r="H342">
        <v>60</v>
      </c>
      <c r="I342">
        <v>2340</v>
      </c>
      <c r="J342">
        <v>0</v>
      </c>
      <c r="K342">
        <v>0</v>
      </c>
      <c r="L342">
        <v>2340</v>
      </c>
      <c r="M342" t="s">
        <v>542</v>
      </c>
      <c r="N342" t="s">
        <v>551</v>
      </c>
    </row>
    <row r="343" spans="1:14" x14ac:dyDescent="0.3">
      <c r="A343" t="s">
        <v>355</v>
      </c>
      <c r="B343" s="3">
        <v>45583</v>
      </c>
      <c r="C343" t="s">
        <v>517</v>
      </c>
      <c r="D343" t="s">
        <v>529</v>
      </c>
      <c r="E343" t="s">
        <v>539</v>
      </c>
      <c r="F343">
        <v>3</v>
      </c>
      <c r="G343">
        <v>3</v>
      </c>
      <c r="H343">
        <v>264</v>
      </c>
      <c r="I343">
        <v>792</v>
      </c>
      <c r="J343">
        <v>0</v>
      </c>
      <c r="K343">
        <v>0</v>
      </c>
      <c r="L343">
        <v>792</v>
      </c>
      <c r="M343" t="s">
        <v>541</v>
      </c>
      <c r="N343" t="s">
        <v>552</v>
      </c>
    </row>
    <row r="344" spans="1:14" x14ac:dyDescent="0.3">
      <c r="A344" t="s">
        <v>356</v>
      </c>
      <c r="B344" s="3">
        <v>45429</v>
      </c>
      <c r="C344" t="s">
        <v>516</v>
      </c>
      <c r="D344" t="s">
        <v>533</v>
      </c>
      <c r="E344" t="s">
        <v>537</v>
      </c>
      <c r="F344">
        <v>54</v>
      </c>
      <c r="G344">
        <v>62</v>
      </c>
      <c r="H344">
        <v>250</v>
      </c>
      <c r="I344">
        <v>15500</v>
      </c>
      <c r="J344">
        <v>0.22</v>
      </c>
      <c r="K344">
        <v>3410</v>
      </c>
      <c r="L344">
        <v>18910</v>
      </c>
      <c r="M344" t="s">
        <v>542</v>
      </c>
      <c r="N344" t="s">
        <v>551</v>
      </c>
    </row>
    <row r="345" spans="1:14" x14ac:dyDescent="0.3">
      <c r="A345" t="s">
        <v>357</v>
      </c>
      <c r="B345" s="3">
        <v>45458</v>
      </c>
      <c r="C345" t="s">
        <v>517</v>
      </c>
      <c r="D345" t="s">
        <v>529</v>
      </c>
      <c r="E345" t="s">
        <v>537</v>
      </c>
      <c r="F345">
        <v>24</v>
      </c>
      <c r="G345">
        <v>25</v>
      </c>
      <c r="H345">
        <v>115</v>
      </c>
      <c r="I345">
        <v>2875</v>
      </c>
      <c r="J345">
        <v>0</v>
      </c>
      <c r="K345">
        <v>0</v>
      </c>
      <c r="L345">
        <v>2875</v>
      </c>
      <c r="M345" t="s">
        <v>541</v>
      </c>
      <c r="N345" t="s">
        <v>547</v>
      </c>
    </row>
    <row r="346" spans="1:14" x14ac:dyDescent="0.3">
      <c r="A346" t="s">
        <v>358</v>
      </c>
      <c r="B346" s="3">
        <v>45306</v>
      </c>
      <c r="C346" t="s">
        <v>518</v>
      </c>
      <c r="D346" t="s">
        <v>523</v>
      </c>
      <c r="E346" t="s">
        <v>539</v>
      </c>
      <c r="F346">
        <v>32</v>
      </c>
      <c r="G346">
        <v>33</v>
      </c>
      <c r="H346">
        <v>225</v>
      </c>
      <c r="I346">
        <v>7425</v>
      </c>
      <c r="J346">
        <v>0.22</v>
      </c>
      <c r="K346">
        <v>1633.5</v>
      </c>
      <c r="L346">
        <v>9058.5</v>
      </c>
      <c r="M346" t="s">
        <v>542</v>
      </c>
      <c r="N346" t="s">
        <v>547</v>
      </c>
    </row>
    <row r="347" spans="1:14" x14ac:dyDescent="0.3">
      <c r="A347" t="s">
        <v>359</v>
      </c>
      <c r="B347" s="3">
        <v>45707</v>
      </c>
      <c r="C347" t="s">
        <v>515</v>
      </c>
      <c r="D347" t="s">
        <v>528</v>
      </c>
      <c r="E347" t="s">
        <v>537</v>
      </c>
      <c r="F347">
        <v>6</v>
      </c>
      <c r="G347">
        <v>6</v>
      </c>
      <c r="H347">
        <v>117</v>
      </c>
      <c r="I347">
        <v>702</v>
      </c>
      <c r="J347">
        <v>0.22</v>
      </c>
      <c r="K347">
        <v>154.44</v>
      </c>
      <c r="L347">
        <v>856.44</v>
      </c>
      <c r="M347" t="s">
        <v>541</v>
      </c>
      <c r="N347" t="s">
        <v>544</v>
      </c>
    </row>
    <row r="348" spans="1:14" x14ac:dyDescent="0.3">
      <c r="A348" t="s">
        <v>360</v>
      </c>
      <c r="B348" s="3">
        <v>45481</v>
      </c>
      <c r="C348" t="s">
        <v>521</v>
      </c>
      <c r="D348" t="s">
        <v>533</v>
      </c>
      <c r="E348" t="s">
        <v>537</v>
      </c>
      <c r="F348">
        <v>46</v>
      </c>
      <c r="G348">
        <v>44</v>
      </c>
      <c r="H348">
        <v>232</v>
      </c>
      <c r="I348">
        <v>10208</v>
      </c>
      <c r="J348">
        <v>0.1</v>
      </c>
      <c r="K348">
        <v>1020.8</v>
      </c>
      <c r="L348">
        <v>11228.8</v>
      </c>
      <c r="M348" t="s">
        <v>542</v>
      </c>
      <c r="N348" t="s">
        <v>548</v>
      </c>
    </row>
    <row r="349" spans="1:14" x14ac:dyDescent="0.3">
      <c r="A349" t="s">
        <v>361</v>
      </c>
      <c r="B349" s="3">
        <v>45684</v>
      </c>
      <c r="C349" t="s">
        <v>519</v>
      </c>
      <c r="D349" t="s">
        <v>533</v>
      </c>
      <c r="E349" t="s">
        <v>538</v>
      </c>
      <c r="F349">
        <v>26</v>
      </c>
      <c r="G349">
        <v>32</v>
      </c>
      <c r="H349">
        <v>232</v>
      </c>
      <c r="I349">
        <v>7424</v>
      </c>
      <c r="J349">
        <v>0.22</v>
      </c>
      <c r="K349">
        <v>1633.28</v>
      </c>
      <c r="L349">
        <v>9057.2800000000007</v>
      </c>
      <c r="M349" t="s">
        <v>543</v>
      </c>
      <c r="N349" t="s">
        <v>548</v>
      </c>
    </row>
    <row r="350" spans="1:14" x14ac:dyDescent="0.3">
      <c r="A350" t="s">
        <v>362</v>
      </c>
      <c r="B350" s="3">
        <v>45303</v>
      </c>
      <c r="C350" t="s">
        <v>522</v>
      </c>
      <c r="D350" t="s">
        <v>529</v>
      </c>
      <c r="E350" t="s">
        <v>537</v>
      </c>
      <c r="F350">
        <v>58</v>
      </c>
      <c r="G350">
        <v>61</v>
      </c>
      <c r="H350">
        <v>106</v>
      </c>
      <c r="I350">
        <v>6466</v>
      </c>
      <c r="J350">
        <v>0</v>
      </c>
      <c r="K350">
        <v>0</v>
      </c>
      <c r="L350">
        <v>6466</v>
      </c>
      <c r="M350" t="s">
        <v>541</v>
      </c>
      <c r="N350" t="s">
        <v>549</v>
      </c>
    </row>
    <row r="351" spans="1:14" x14ac:dyDescent="0.3">
      <c r="A351" t="s">
        <v>363</v>
      </c>
      <c r="B351" s="3">
        <v>45355</v>
      </c>
      <c r="C351" t="s">
        <v>520</v>
      </c>
      <c r="D351" t="s">
        <v>533</v>
      </c>
      <c r="E351" t="s">
        <v>537</v>
      </c>
      <c r="F351">
        <v>22</v>
      </c>
      <c r="G351">
        <v>21</v>
      </c>
      <c r="H351">
        <v>139</v>
      </c>
      <c r="I351">
        <v>2919</v>
      </c>
      <c r="J351">
        <v>0.22</v>
      </c>
      <c r="K351">
        <v>642.17999999999995</v>
      </c>
      <c r="L351">
        <v>3561.18</v>
      </c>
      <c r="M351" t="s">
        <v>541</v>
      </c>
      <c r="N351" t="s">
        <v>545</v>
      </c>
    </row>
    <row r="352" spans="1:14" x14ac:dyDescent="0.3">
      <c r="A352" t="s">
        <v>364</v>
      </c>
      <c r="B352" s="3">
        <v>45610</v>
      </c>
      <c r="C352" t="s">
        <v>520</v>
      </c>
      <c r="D352" t="s">
        <v>529</v>
      </c>
      <c r="E352" t="s">
        <v>537</v>
      </c>
      <c r="F352">
        <v>75</v>
      </c>
      <c r="G352">
        <v>75</v>
      </c>
      <c r="H352">
        <v>288</v>
      </c>
      <c r="I352">
        <v>21600</v>
      </c>
      <c r="J352">
        <v>0</v>
      </c>
      <c r="K352">
        <v>0</v>
      </c>
      <c r="L352">
        <v>21600</v>
      </c>
      <c r="M352" t="s">
        <v>543</v>
      </c>
      <c r="N352" t="s">
        <v>553</v>
      </c>
    </row>
    <row r="353" spans="1:14" x14ac:dyDescent="0.3">
      <c r="A353" t="s">
        <v>365</v>
      </c>
      <c r="B353" s="3">
        <v>45518</v>
      </c>
      <c r="C353" t="s">
        <v>519</v>
      </c>
      <c r="D353" t="s">
        <v>532</v>
      </c>
      <c r="E353" t="s">
        <v>540</v>
      </c>
      <c r="F353">
        <v>41</v>
      </c>
      <c r="G353">
        <v>36</v>
      </c>
      <c r="H353">
        <v>286</v>
      </c>
      <c r="I353">
        <v>10296</v>
      </c>
      <c r="J353">
        <v>0.22</v>
      </c>
      <c r="K353">
        <v>2265.12</v>
      </c>
      <c r="L353">
        <v>12561.12</v>
      </c>
      <c r="M353" t="s">
        <v>541</v>
      </c>
      <c r="N353" t="s">
        <v>553</v>
      </c>
    </row>
    <row r="354" spans="1:14" x14ac:dyDescent="0.3">
      <c r="A354" t="s">
        <v>366</v>
      </c>
      <c r="B354" s="3">
        <v>45674</v>
      </c>
      <c r="C354" t="s">
        <v>515</v>
      </c>
      <c r="D354" t="s">
        <v>528</v>
      </c>
      <c r="E354" t="s">
        <v>540</v>
      </c>
      <c r="F354">
        <v>20</v>
      </c>
      <c r="G354">
        <v>19</v>
      </c>
      <c r="H354">
        <v>79</v>
      </c>
      <c r="I354">
        <v>1501</v>
      </c>
      <c r="J354">
        <v>0.22</v>
      </c>
      <c r="K354">
        <v>330.22</v>
      </c>
      <c r="L354">
        <v>1831.22</v>
      </c>
      <c r="M354" t="s">
        <v>541</v>
      </c>
      <c r="N354" t="s">
        <v>549</v>
      </c>
    </row>
    <row r="355" spans="1:14" x14ac:dyDescent="0.3">
      <c r="A355" t="s">
        <v>367</v>
      </c>
      <c r="B355" s="3">
        <v>45545</v>
      </c>
      <c r="C355" t="s">
        <v>520</v>
      </c>
      <c r="D355" t="s">
        <v>528</v>
      </c>
      <c r="E355" t="s">
        <v>540</v>
      </c>
      <c r="F355">
        <v>49</v>
      </c>
      <c r="G355">
        <v>57</v>
      </c>
      <c r="H355">
        <v>205</v>
      </c>
      <c r="I355">
        <v>11685</v>
      </c>
      <c r="J355">
        <v>0.22</v>
      </c>
      <c r="K355">
        <v>2570.6999999999998</v>
      </c>
      <c r="L355">
        <v>14255.7</v>
      </c>
      <c r="M355" t="s">
        <v>543</v>
      </c>
      <c r="N355" t="s">
        <v>544</v>
      </c>
    </row>
    <row r="356" spans="1:14" x14ac:dyDescent="0.3">
      <c r="A356" t="s">
        <v>368</v>
      </c>
      <c r="B356" s="3">
        <v>45406</v>
      </c>
      <c r="C356" t="s">
        <v>514</v>
      </c>
      <c r="D356" t="s">
        <v>528</v>
      </c>
      <c r="E356" t="s">
        <v>539</v>
      </c>
      <c r="F356">
        <v>39</v>
      </c>
      <c r="G356">
        <v>47</v>
      </c>
      <c r="H356">
        <v>292</v>
      </c>
      <c r="I356">
        <v>13724</v>
      </c>
      <c r="J356">
        <v>0.22</v>
      </c>
      <c r="K356">
        <v>3019.28</v>
      </c>
      <c r="L356">
        <v>16743.28</v>
      </c>
      <c r="M356" t="s">
        <v>541</v>
      </c>
      <c r="N356" t="s">
        <v>547</v>
      </c>
    </row>
    <row r="357" spans="1:14" x14ac:dyDescent="0.3">
      <c r="A357" t="s">
        <v>369</v>
      </c>
      <c r="B357" s="3">
        <v>45460</v>
      </c>
      <c r="C357" t="s">
        <v>518</v>
      </c>
      <c r="D357" t="s">
        <v>528</v>
      </c>
      <c r="E357" t="s">
        <v>540</v>
      </c>
      <c r="F357">
        <v>52</v>
      </c>
      <c r="G357">
        <v>49</v>
      </c>
      <c r="H357">
        <v>73</v>
      </c>
      <c r="I357">
        <v>3577</v>
      </c>
      <c r="J357">
        <v>0.22</v>
      </c>
      <c r="K357">
        <v>786.94</v>
      </c>
      <c r="L357">
        <v>4363.9400000000014</v>
      </c>
      <c r="M357" t="s">
        <v>542</v>
      </c>
      <c r="N357" t="s">
        <v>553</v>
      </c>
    </row>
    <row r="358" spans="1:14" x14ac:dyDescent="0.3">
      <c r="A358" t="s">
        <v>370</v>
      </c>
      <c r="B358" s="3">
        <v>45792</v>
      </c>
      <c r="C358" t="s">
        <v>520</v>
      </c>
      <c r="D358" t="s">
        <v>528</v>
      </c>
      <c r="E358" t="s">
        <v>540</v>
      </c>
      <c r="F358">
        <v>12</v>
      </c>
      <c r="G358">
        <v>15</v>
      </c>
      <c r="H358">
        <v>218</v>
      </c>
      <c r="I358">
        <v>3270</v>
      </c>
      <c r="J358">
        <v>0.22</v>
      </c>
      <c r="K358">
        <v>719.4</v>
      </c>
      <c r="L358">
        <v>3989.4</v>
      </c>
      <c r="M358" t="s">
        <v>543</v>
      </c>
      <c r="N358" t="s">
        <v>547</v>
      </c>
    </row>
    <row r="359" spans="1:14" x14ac:dyDescent="0.3">
      <c r="A359" t="s">
        <v>371</v>
      </c>
      <c r="B359" s="3">
        <v>45817</v>
      </c>
      <c r="C359" t="s">
        <v>515</v>
      </c>
      <c r="D359" t="s">
        <v>533</v>
      </c>
      <c r="E359" t="s">
        <v>539</v>
      </c>
      <c r="F359">
        <v>1</v>
      </c>
      <c r="G359">
        <v>1</v>
      </c>
      <c r="H359">
        <v>176</v>
      </c>
      <c r="I359">
        <v>176</v>
      </c>
      <c r="J359">
        <v>0.22</v>
      </c>
      <c r="K359">
        <v>38.72</v>
      </c>
      <c r="L359">
        <v>214.72</v>
      </c>
      <c r="M359" t="s">
        <v>543</v>
      </c>
      <c r="N359" t="s">
        <v>548</v>
      </c>
    </row>
    <row r="360" spans="1:14" x14ac:dyDescent="0.3">
      <c r="A360" t="s">
        <v>372</v>
      </c>
      <c r="B360" s="3">
        <v>45314</v>
      </c>
      <c r="C360" t="s">
        <v>515</v>
      </c>
      <c r="D360" t="s">
        <v>523</v>
      </c>
      <c r="E360" t="s">
        <v>538</v>
      </c>
      <c r="F360">
        <v>64</v>
      </c>
      <c r="G360">
        <v>54</v>
      </c>
      <c r="H360">
        <v>177</v>
      </c>
      <c r="I360">
        <v>9558</v>
      </c>
      <c r="J360">
        <v>0.22</v>
      </c>
      <c r="K360">
        <v>2102.7600000000002</v>
      </c>
      <c r="L360">
        <v>11660.76</v>
      </c>
      <c r="M360" t="s">
        <v>542</v>
      </c>
      <c r="N360" t="s">
        <v>553</v>
      </c>
    </row>
    <row r="361" spans="1:14" x14ac:dyDescent="0.3">
      <c r="A361" t="s">
        <v>373</v>
      </c>
      <c r="B361" s="3">
        <v>45366</v>
      </c>
      <c r="C361" t="s">
        <v>514</v>
      </c>
      <c r="D361" t="s">
        <v>530</v>
      </c>
      <c r="E361" t="s">
        <v>537</v>
      </c>
      <c r="F361">
        <v>3</v>
      </c>
      <c r="G361">
        <v>3</v>
      </c>
      <c r="H361">
        <v>203</v>
      </c>
      <c r="I361">
        <v>609</v>
      </c>
      <c r="J361">
        <v>0.22</v>
      </c>
      <c r="K361">
        <v>133.97999999999999</v>
      </c>
      <c r="L361">
        <v>742.98</v>
      </c>
      <c r="M361" t="s">
        <v>541</v>
      </c>
      <c r="N361" t="s">
        <v>550</v>
      </c>
    </row>
    <row r="362" spans="1:14" x14ac:dyDescent="0.3">
      <c r="A362" t="s">
        <v>374</v>
      </c>
      <c r="B362" s="3">
        <v>45362</v>
      </c>
      <c r="C362" t="s">
        <v>517</v>
      </c>
      <c r="D362" t="s">
        <v>524</v>
      </c>
      <c r="E362" t="s">
        <v>537</v>
      </c>
      <c r="F362">
        <v>54</v>
      </c>
      <c r="G362">
        <v>57</v>
      </c>
      <c r="H362">
        <v>262</v>
      </c>
      <c r="I362">
        <v>14934</v>
      </c>
      <c r="J362">
        <v>0.22</v>
      </c>
      <c r="K362">
        <v>3285.48</v>
      </c>
      <c r="L362">
        <v>18219.48</v>
      </c>
      <c r="M362" t="s">
        <v>542</v>
      </c>
      <c r="N362" t="s">
        <v>546</v>
      </c>
    </row>
    <row r="363" spans="1:14" x14ac:dyDescent="0.3">
      <c r="A363" t="s">
        <v>375</v>
      </c>
      <c r="B363" s="3">
        <v>45675</v>
      </c>
      <c r="C363" t="s">
        <v>515</v>
      </c>
      <c r="D363" t="s">
        <v>533</v>
      </c>
      <c r="E363" t="s">
        <v>538</v>
      </c>
      <c r="F363">
        <v>13</v>
      </c>
      <c r="G363">
        <v>12</v>
      </c>
      <c r="H363">
        <v>133</v>
      </c>
      <c r="I363">
        <v>1596</v>
      </c>
      <c r="J363">
        <v>0.1</v>
      </c>
      <c r="K363">
        <v>159.6</v>
      </c>
      <c r="L363">
        <v>1755.6</v>
      </c>
      <c r="M363" t="s">
        <v>543</v>
      </c>
      <c r="N363" t="s">
        <v>546</v>
      </c>
    </row>
    <row r="364" spans="1:14" x14ac:dyDescent="0.3">
      <c r="A364" t="s">
        <v>376</v>
      </c>
      <c r="B364" s="3">
        <v>45374</v>
      </c>
      <c r="C364" t="s">
        <v>516</v>
      </c>
      <c r="D364" t="s">
        <v>532</v>
      </c>
      <c r="E364" t="s">
        <v>536</v>
      </c>
      <c r="F364">
        <v>16</v>
      </c>
      <c r="G364">
        <v>16</v>
      </c>
      <c r="H364">
        <v>259</v>
      </c>
      <c r="I364">
        <v>4144</v>
      </c>
      <c r="J364">
        <v>0.1</v>
      </c>
      <c r="K364">
        <v>414.4</v>
      </c>
      <c r="L364">
        <v>4558.3999999999996</v>
      </c>
      <c r="M364" t="s">
        <v>542</v>
      </c>
      <c r="N364" t="s">
        <v>547</v>
      </c>
    </row>
    <row r="365" spans="1:14" x14ac:dyDescent="0.3">
      <c r="A365" t="s">
        <v>377</v>
      </c>
      <c r="B365" s="3">
        <v>45694</v>
      </c>
      <c r="C365" t="s">
        <v>516</v>
      </c>
      <c r="D365" t="s">
        <v>532</v>
      </c>
      <c r="E365" t="s">
        <v>536</v>
      </c>
      <c r="F365">
        <v>77</v>
      </c>
      <c r="G365">
        <v>76</v>
      </c>
      <c r="H365">
        <v>211</v>
      </c>
      <c r="I365">
        <v>16036</v>
      </c>
      <c r="J365">
        <v>0.1</v>
      </c>
      <c r="K365">
        <v>1603.6</v>
      </c>
      <c r="L365">
        <v>17639.599999999999</v>
      </c>
      <c r="M365" t="s">
        <v>542</v>
      </c>
      <c r="N365" t="s">
        <v>550</v>
      </c>
    </row>
    <row r="366" spans="1:14" x14ac:dyDescent="0.3">
      <c r="A366" t="s">
        <v>378</v>
      </c>
      <c r="B366" s="3">
        <v>45597</v>
      </c>
      <c r="C366" t="s">
        <v>517</v>
      </c>
      <c r="D366" t="s">
        <v>529</v>
      </c>
      <c r="E366" t="s">
        <v>536</v>
      </c>
      <c r="F366">
        <v>33</v>
      </c>
      <c r="G366">
        <v>28</v>
      </c>
      <c r="H366">
        <v>176</v>
      </c>
      <c r="I366">
        <v>4928</v>
      </c>
      <c r="J366">
        <v>0</v>
      </c>
      <c r="K366">
        <v>0</v>
      </c>
      <c r="L366">
        <v>4928</v>
      </c>
      <c r="M366" t="s">
        <v>541</v>
      </c>
      <c r="N366" t="s">
        <v>546</v>
      </c>
    </row>
    <row r="367" spans="1:14" x14ac:dyDescent="0.3">
      <c r="A367" t="s">
        <v>379</v>
      </c>
      <c r="B367" s="3">
        <v>45836</v>
      </c>
      <c r="C367" t="s">
        <v>515</v>
      </c>
      <c r="D367" t="s">
        <v>525</v>
      </c>
      <c r="E367" t="s">
        <v>534</v>
      </c>
      <c r="F367">
        <v>8</v>
      </c>
      <c r="G367">
        <v>8</v>
      </c>
      <c r="H367">
        <v>181</v>
      </c>
      <c r="I367">
        <v>1448</v>
      </c>
      <c r="J367">
        <v>0.22</v>
      </c>
      <c r="K367">
        <v>318.56</v>
      </c>
      <c r="L367">
        <v>1766.56</v>
      </c>
      <c r="M367" t="s">
        <v>542</v>
      </c>
      <c r="N367" t="s">
        <v>548</v>
      </c>
    </row>
    <row r="368" spans="1:14" x14ac:dyDescent="0.3">
      <c r="A368" t="s">
        <v>380</v>
      </c>
      <c r="B368" s="3">
        <v>45485</v>
      </c>
      <c r="C368" t="s">
        <v>520</v>
      </c>
      <c r="D368" t="s">
        <v>524</v>
      </c>
      <c r="E368" t="s">
        <v>538</v>
      </c>
      <c r="F368">
        <v>43</v>
      </c>
      <c r="G368">
        <v>36</v>
      </c>
      <c r="H368">
        <v>149</v>
      </c>
      <c r="I368">
        <v>5364</v>
      </c>
      <c r="J368">
        <v>0.22</v>
      </c>
      <c r="K368">
        <v>1180.08</v>
      </c>
      <c r="L368">
        <v>6544.08</v>
      </c>
      <c r="M368" t="s">
        <v>541</v>
      </c>
      <c r="N368" t="s">
        <v>550</v>
      </c>
    </row>
    <row r="369" spans="1:14" x14ac:dyDescent="0.3">
      <c r="A369" t="s">
        <v>381</v>
      </c>
      <c r="B369" s="3">
        <v>45538</v>
      </c>
      <c r="C369" t="s">
        <v>519</v>
      </c>
      <c r="D369" t="s">
        <v>527</v>
      </c>
      <c r="E369" t="s">
        <v>535</v>
      </c>
      <c r="F369">
        <v>9</v>
      </c>
      <c r="G369">
        <v>8</v>
      </c>
      <c r="H369">
        <v>245</v>
      </c>
      <c r="I369">
        <v>1960</v>
      </c>
      <c r="J369">
        <v>0.22</v>
      </c>
      <c r="K369">
        <v>431.2</v>
      </c>
      <c r="L369">
        <v>2391.1999999999998</v>
      </c>
      <c r="M369" t="s">
        <v>543</v>
      </c>
      <c r="N369" t="s">
        <v>553</v>
      </c>
    </row>
    <row r="370" spans="1:14" x14ac:dyDescent="0.3">
      <c r="A370" t="s">
        <v>382</v>
      </c>
      <c r="B370" s="3">
        <v>45341</v>
      </c>
      <c r="C370" t="s">
        <v>519</v>
      </c>
      <c r="D370" t="s">
        <v>524</v>
      </c>
      <c r="E370" t="s">
        <v>540</v>
      </c>
      <c r="F370">
        <v>53</v>
      </c>
      <c r="G370">
        <v>60</v>
      </c>
      <c r="H370">
        <v>237</v>
      </c>
      <c r="I370">
        <v>14220</v>
      </c>
      <c r="J370">
        <v>0.22</v>
      </c>
      <c r="K370">
        <v>3128.4</v>
      </c>
      <c r="L370">
        <v>17348.400000000001</v>
      </c>
      <c r="M370" t="s">
        <v>541</v>
      </c>
      <c r="N370" t="s">
        <v>549</v>
      </c>
    </row>
    <row r="371" spans="1:14" x14ac:dyDescent="0.3">
      <c r="A371" t="s">
        <v>383</v>
      </c>
      <c r="B371" s="3">
        <v>45349</v>
      </c>
      <c r="C371" t="s">
        <v>521</v>
      </c>
      <c r="D371" t="s">
        <v>528</v>
      </c>
      <c r="E371" t="s">
        <v>537</v>
      </c>
      <c r="F371">
        <v>23</v>
      </c>
      <c r="G371">
        <v>28</v>
      </c>
      <c r="H371">
        <v>279</v>
      </c>
      <c r="I371">
        <v>7812</v>
      </c>
      <c r="J371">
        <v>0.22</v>
      </c>
      <c r="K371">
        <v>1718.64</v>
      </c>
      <c r="L371">
        <v>9530.64</v>
      </c>
      <c r="M371" t="s">
        <v>541</v>
      </c>
      <c r="N371" t="s">
        <v>553</v>
      </c>
    </row>
    <row r="372" spans="1:14" x14ac:dyDescent="0.3">
      <c r="A372" t="s">
        <v>384</v>
      </c>
      <c r="B372" s="3">
        <v>45618</v>
      </c>
      <c r="C372" t="s">
        <v>518</v>
      </c>
      <c r="D372" t="s">
        <v>525</v>
      </c>
      <c r="E372" t="s">
        <v>537</v>
      </c>
      <c r="F372">
        <v>34</v>
      </c>
      <c r="G372">
        <v>41</v>
      </c>
      <c r="H372">
        <v>287</v>
      </c>
      <c r="I372">
        <v>11767</v>
      </c>
      <c r="J372">
        <v>0.1</v>
      </c>
      <c r="K372">
        <v>1176.7</v>
      </c>
      <c r="L372">
        <v>12943.7</v>
      </c>
      <c r="M372" t="s">
        <v>541</v>
      </c>
      <c r="N372" t="s">
        <v>545</v>
      </c>
    </row>
    <row r="373" spans="1:14" x14ac:dyDescent="0.3">
      <c r="A373" t="s">
        <v>385</v>
      </c>
      <c r="B373" s="3">
        <v>45518</v>
      </c>
      <c r="C373" t="s">
        <v>515</v>
      </c>
      <c r="D373" t="s">
        <v>523</v>
      </c>
      <c r="E373" t="s">
        <v>537</v>
      </c>
      <c r="F373">
        <v>52</v>
      </c>
      <c r="G373">
        <v>64</v>
      </c>
      <c r="H373">
        <v>214</v>
      </c>
      <c r="I373">
        <v>13696</v>
      </c>
      <c r="J373">
        <v>0.22</v>
      </c>
      <c r="K373">
        <v>3013.12</v>
      </c>
      <c r="L373">
        <v>16709.12</v>
      </c>
      <c r="M373" t="s">
        <v>541</v>
      </c>
      <c r="N373" t="s">
        <v>547</v>
      </c>
    </row>
    <row r="374" spans="1:14" x14ac:dyDescent="0.3">
      <c r="A374" t="s">
        <v>386</v>
      </c>
      <c r="B374" s="3">
        <v>45729</v>
      </c>
      <c r="C374" t="s">
        <v>516</v>
      </c>
      <c r="D374" t="s">
        <v>533</v>
      </c>
      <c r="E374" t="s">
        <v>535</v>
      </c>
      <c r="F374">
        <v>53</v>
      </c>
      <c r="G374">
        <v>63</v>
      </c>
      <c r="H374">
        <v>204</v>
      </c>
      <c r="I374">
        <v>12852</v>
      </c>
      <c r="J374">
        <v>0.1</v>
      </c>
      <c r="K374">
        <v>1285.2</v>
      </c>
      <c r="L374">
        <v>14137.2</v>
      </c>
      <c r="M374" t="s">
        <v>541</v>
      </c>
      <c r="N374" t="s">
        <v>546</v>
      </c>
    </row>
    <row r="375" spans="1:14" x14ac:dyDescent="0.3">
      <c r="A375" t="s">
        <v>387</v>
      </c>
      <c r="B375" s="3">
        <v>45829</v>
      </c>
      <c r="C375" t="s">
        <v>518</v>
      </c>
      <c r="D375" t="s">
        <v>530</v>
      </c>
      <c r="E375" t="s">
        <v>540</v>
      </c>
      <c r="F375">
        <v>78</v>
      </c>
      <c r="G375">
        <v>73</v>
      </c>
      <c r="H375">
        <v>220</v>
      </c>
      <c r="I375">
        <v>16060</v>
      </c>
      <c r="J375">
        <v>0.22</v>
      </c>
      <c r="K375">
        <v>3533.2</v>
      </c>
      <c r="L375">
        <v>19593.2</v>
      </c>
      <c r="M375" t="s">
        <v>543</v>
      </c>
      <c r="N375" t="s">
        <v>547</v>
      </c>
    </row>
    <row r="376" spans="1:14" x14ac:dyDescent="0.3">
      <c r="A376" t="s">
        <v>388</v>
      </c>
      <c r="B376" s="3">
        <v>45776</v>
      </c>
      <c r="C376" t="s">
        <v>519</v>
      </c>
      <c r="D376" t="s">
        <v>525</v>
      </c>
      <c r="E376" t="s">
        <v>537</v>
      </c>
      <c r="F376">
        <v>64</v>
      </c>
      <c r="G376">
        <v>77</v>
      </c>
      <c r="H376">
        <v>279</v>
      </c>
      <c r="I376">
        <v>21483</v>
      </c>
      <c r="J376">
        <v>0.1</v>
      </c>
      <c r="K376">
        <v>2148.3000000000002</v>
      </c>
      <c r="L376">
        <v>23631.3</v>
      </c>
      <c r="M376" t="s">
        <v>542</v>
      </c>
      <c r="N376" t="s">
        <v>552</v>
      </c>
    </row>
    <row r="377" spans="1:14" x14ac:dyDescent="0.3">
      <c r="A377" t="s">
        <v>389</v>
      </c>
      <c r="B377" s="3">
        <v>45351</v>
      </c>
      <c r="C377" t="s">
        <v>516</v>
      </c>
      <c r="D377" t="s">
        <v>530</v>
      </c>
      <c r="E377" t="s">
        <v>540</v>
      </c>
      <c r="F377">
        <v>27</v>
      </c>
      <c r="G377">
        <v>29</v>
      </c>
      <c r="H377">
        <v>200</v>
      </c>
      <c r="I377">
        <v>5800</v>
      </c>
      <c r="J377">
        <v>0.22</v>
      </c>
      <c r="K377">
        <v>1276</v>
      </c>
      <c r="L377">
        <v>7076</v>
      </c>
      <c r="M377" t="s">
        <v>542</v>
      </c>
      <c r="N377" t="s">
        <v>546</v>
      </c>
    </row>
    <row r="378" spans="1:14" x14ac:dyDescent="0.3">
      <c r="A378" t="s">
        <v>390</v>
      </c>
      <c r="B378" s="3">
        <v>45540</v>
      </c>
      <c r="C378" t="s">
        <v>522</v>
      </c>
      <c r="D378" t="s">
        <v>525</v>
      </c>
      <c r="E378" t="s">
        <v>537</v>
      </c>
      <c r="F378">
        <v>52</v>
      </c>
      <c r="G378">
        <v>46</v>
      </c>
      <c r="H378">
        <v>94</v>
      </c>
      <c r="I378">
        <v>4324</v>
      </c>
      <c r="J378">
        <v>0.22</v>
      </c>
      <c r="K378">
        <v>951.28</v>
      </c>
      <c r="L378">
        <v>5275.28</v>
      </c>
      <c r="M378" t="s">
        <v>543</v>
      </c>
      <c r="N378" t="s">
        <v>551</v>
      </c>
    </row>
    <row r="379" spans="1:14" x14ac:dyDescent="0.3">
      <c r="A379" t="s">
        <v>391</v>
      </c>
      <c r="B379" s="3">
        <v>45386</v>
      </c>
      <c r="C379" t="s">
        <v>516</v>
      </c>
      <c r="D379" t="s">
        <v>525</v>
      </c>
      <c r="E379" t="s">
        <v>535</v>
      </c>
      <c r="F379">
        <v>5</v>
      </c>
      <c r="G379">
        <v>6</v>
      </c>
      <c r="H379">
        <v>141</v>
      </c>
      <c r="I379">
        <v>846</v>
      </c>
      <c r="J379">
        <v>0.22</v>
      </c>
      <c r="K379">
        <v>186.12</v>
      </c>
      <c r="L379">
        <v>1032.1199999999999</v>
      </c>
      <c r="M379" t="s">
        <v>541</v>
      </c>
      <c r="N379" t="s">
        <v>553</v>
      </c>
    </row>
    <row r="380" spans="1:14" x14ac:dyDescent="0.3">
      <c r="A380" t="s">
        <v>392</v>
      </c>
      <c r="B380" s="3">
        <v>45332</v>
      </c>
      <c r="C380" t="s">
        <v>520</v>
      </c>
      <c r="D380" t="s">
        <v>525</v>
      </c>
      <c r="E380" t="s">
        <v>538</v>
      </c>
      <c r="F380">
        <v>78</v>
      </c>
      <c r="G380">
        <v>69</v>
      </c>
      <c r="H380">
        <v>106</v>
      </c>
      <c r="I380">
        <v>7314</v>
      </c>
      <c r="J380">
        <v>0.22</v>
      </c>
      <c r="K380">
        <v>1609.08</v>
      </c>
      <c r="L380">
        <v>8923.08</v>
      </c>
      <c r="M380" t="s">
        <v>541</v>
      </c>
      <c r="N380" t="s">
        <v>545</v>
      </c>
    </row>
    <row r="381" spans="1:14" x14ac:dyDescent="0.3">
      <c r="A381" t="s">
        <v>393</v>
      </c>
      <c r="B381" s="3">
        <v>45514</v>
      </c>
      <c r="C381" t="s">
        <v>517</v>
      </c>
      <c r="D381" t="s">
        <v>525</v>
      </c>
      <c r="E381" t="s">
        <v>538</v>
      </c>
      <c r="F381">
        <v>23</v>
      </c>
      <c r="G381">
        <v>25</v>
      </c>
      <c r="H381">
        <v>253</v>
      </c>
      <c r="I381">
        <v>6325</v>
      </c>
      <c r="J381">
        <v>0.1</v>
      </c>
      <c r="K381">
        <v>632.5</v>
      </c>
      <c r="L381">
        <v>6957.5</v>
      </c>
      <c r="M381" t="s">
        <v>543</v>
      </c>
      <c r="N381" t="s">
        <v>550</v>
      </c>
    </row>
    <row r="382" spans="1:14" x14ac:dyDescent="0.3">
      <c r="A382" t="s">
        <v>394</v>
      </c>
      <c r="B382" s="3">
        <v>45508</v>
      </c>
      <c r="C382" t="s">
        <v>519</v>
      </c>
      <c r="D382" t="s">
        <v>527</v>
      </c>
      <c r="E382" t="s">
        <v>536</v>
      </c>
      <c r="F382">
        <v>8</v>
      </c>
      <c r="G382">
        <v>10</v>
      </c>
      <c r="H382">
        <v>115</v>
      </c>
      <c r="I382">
        <v>1150</v>
      </c>
      <c r="J382">
        <v>0.1</v>
      </c>
      <c r="K382">
        <v>115</v>
      </c>
      <c r="L382">
        <v>1265</v>
      </c>
      <c r="M382" t="s">
        <v>543</v>
      </c>
      <c r="N382" t="s">
        <v>549</v>
      </c>
    </row>
    <row r="383" spans="1:14" x14ac:dyDescent="0.3">
      <c r="A383" t="s">
        <v>395</v>
      </c>
      <c r="B383" s="3">
        <v>45501</v>
      </c>
      <c r="C383" t="s">
        <v>515</v>
      </c>
      <c r="D383" t="s">
        <v>525</v>
      </c>
      <c r="E383" t="s">
        <v>539</v>
      </c>
      <c r="F383">
        <v>32</v>
      </c>
      <c r="G383">
        <v>30</v>
      </c>
      <c r="H383">
        <v>168</v>
      </c>
      <c r="I383">
        <v>5040</v>
      </c>
      <c r="J383">
        <v>0.22</v>
      </c>
      <c r="K383">
        <v>1108.8</v>
      </c>
      <c r="L383">
        <v>6148.8</v>
      </c>
      <c r="M383" t="s">
        <v>543</v>
      </c>
      <c r="N383" t="s">
        <v>546</v>
      </c>
    </row>
    <row r="384" spans="1:14" x14ac:dyDescent="0.3">
      <c r="A384" t="s">
        <v>396</v>
      </c>
      <c r="B384" s="3">
        <v>45769</v>
      </c>
      <c r="C384" t="s">
        <v>516</v>
      </c>
      <c r="D384" t="s">
        <v>529</v>
      </c>
      <c r="E384" t="s">
        <v>537</v>
      </c>
      <c r="F384">
        <v>5</v>
      </c>
      <c r="G384">
        <v>5</v>
      </c>
      <c r="H384">
        <v>178</v>
      </c>
      <c r="I384">
        <v>890</v>
      </c>
      <c r="J384">
        <v>0</v>
      </c>
      <c r="K384">
        <v>0</v>
      </c>
      <c r="L384">
        <v>890</v>
      </c>
      <c r="M384" t="s">
        <v>543</v>
      </c>
      <c r="N384" t="s">
        <v>548</v>
      </c>
    </row>
    <row r="385" spans="1:14" x14ac:dyDescent="0.3">
      <c r="A385" t="s">
        <v>397</v>
      </c>
      <c r="B385" s="3">
        <v>45660</v>
      </c>
      <c r="C385" t="s">
        <v>516</v>
      </c>
      <c r="D385" t="s">
        <v>533</v>
      </c>
      <c r="E385" t="s">
        <v>540</v>
      </c>
      <c r="F385">
        <v>38</v>
      </c>
      <c r="G385">
        <v>33</v>
      </c>
      <c r="H385">
        <v>177</v>
      </c>
      <c r="I385">
        <v>5841</v>
      </c>
      <c r="J385">
        <v>0.22</v>
      </c>
      <c r="K385">
        <v>1285.02</v>
      </c>
      <c r="L385">
        <v>7126.02</v>
      </c>
      <c r="M385" t="s">
        <v>541</v>
      </c>
      <c r="N385" t="s">
        <v>552</v>
      </c>
    </row>
    <row r="386" spans="1:14" x14ac:dyDescent="0.3">
      <c r="A386" t="s">
        <v>398</v>
      </c>
      <c r="B386" s="3">
        <v>45619</v>
      </c>
      <c r="C386" t="s">
        <v>519</v>
      </c>
      <c r="D386" t="s">
        <v>531</v>
      </c>
      <c r="E386" t="s">
        <v>537</v>
      </c>
      <c r="F386">
        <v>71</v>
      </c>
      <c r="G386">
        <v>65</v>
      </c>
      <c r="H386">
        <v>205</v>
      </c>
      <c r="I386">
        <v>13325</v>
      </c>
      <c r="J386">
        <v>0.22</v>
      </c>
      <c r="K386">
        <v>2931.5</v>
      </c>
      <c r="L386">
        <v>16256.5</v>
      </c>
      <c r="M386" t="s">
        <v>541</v>
      </c>
      <c r="N386" t="s">
        <v>549</v>
      </c>
    </row>
    <row r="387" spans="1:14" x14ac:dyDescent="0.3">
      <c r="A387" t="s">
        <v>399</v>
      </c>
      <c r="B387" s="3">
        <v>45441</v>
      </c>
      <c r="C387" t="s">
        <v>514</v>
      </c>
      <c r="D387" t="s">
        <v>523</v>
      </c>
      <c r="E387" t="s">
        <v>539</v>
      </c>
      <c r="F387">
        <v>55</v>
      </c>
      <c r="G387">
        <v>49</v>
      </c>
      <c r="H387">
        <v>70</v>
      </c>
      <c r="I387">
        <v>3430</v>
      </c>
      <c r="J387">
        <v>0.1</v>
      </c>
      <c r="K387">
        <v>343</v>
      </c>
      <c r="L387">
        <v>3773</v>
      </c>
      <c r="M387" t="s">
        <v>541</v>
      </c>
      <c r="N387" t="s">
        <v>546</v>
      </c>
    </row>
    <row r="388" spans="1:14" x14ac:dyDescent="0.3">
      <c r="A388" t="s">
        <v>400</v>
      </c>
      <c r="B388" s="3">
        <v>45594</v>
      </c>
      <c r="C388" t="s">
        <v>521</v>
      </c>
      <c r="D388" t="s">
        <v>525</v>
      </c>
      <c r="E388" t="s">
        <v>537</v>
      </c>
      <c r="F388">
        <v>24</v>
      </c>
      <c r="G388">
        <v>26</v>
      </c>
      <c r="H388">
        <v>122</v>
      </c>
      <c r="I388">
        <v>3172</v>
      </c>
      <c r="J388">
        <v>0.22</v>
      </c>
      <c r="K388">
        <v>697.84</v>
      </c>
      <c r="L388">
        <v>3869.84</v>
      </c>
      <c r="M388" t="s">
        <v>541</v>
      </c>
      <c r="N388" t="s">
        <v>549</v>
      </c>
    </row>
    <row r="389" spans="1:14" x14ac:dyDescent="0.3">
      <c r="A389" t="s">
        <v>401</v>
      </c>
      <c r="B389" s="3">
        <v>45803</v>
      </c>
      <c r="C389" t="s">
        <v>516</v>
      </c>
      <c r="D389" t="s">
        <v>529</v>
      </c>
      <c r="E389" t="s">
        <v>536</v>
      </c>
      <c r="F389">
        <v>51</v>
      </c>
      <c r="G389">
        <v>59</v>
      </c>
      <c r="H389">
        <v>86</v>
      </c>
      <c r="I389">
        <v>5074</v>
      </c>
      <c r="J389">
        <v>0</v>
      </c>
      <c r="K389">
        <v>0</v>
      </c>
      <c r="L389">
        <v>5074</v>
      </c>
      <c r="M389" t="s">
        <v>543</v>
      </c>
      <c r="N389" t="s">
        <v>548</v>
      </c>
    </row>
    <row r="390" spans="1:14" x14ac:dyDescent="0.3">
      <c r="A390" t="s">
        <v>402</v>
      </c>
      <c r="B390" s="3">
        <v>45792</v>
      </c>
      <c r="C390" t="s">
        <v>517</v>
      </c>
      <c r="D390" t="s">
        <v>533</v>
      </c>
      <c r="E390" t="s">
        <v>534</v>
      </c>
      <c r="F390">
        <v>54</v>
      </c>
      <c r="G390">
        <v>49</v>
      </c>
      <c r="H390">
        <v>264</v>
      </c>
      <c r="I390">
        <v>12936</v>
      </c>
      <c r="J390">
        <v>0.22</v>
      </c>
      <c r="K390">
        <v>2845.92</v>
      </c>
      <c r="L390">
        <v>15781.92</v>
      </c>
      <c r="M390" t="s">
        <v>543</v>
      </c>
      <c r="N390" t="s">
        <v>547</v>
      </c>
    </row>
    <row r="391" spans="1:14" x14ac:dyDescent="0.3">
      <c r="A391" t="s">
        <v>403</v>
      </c>
      <c r="B391" s="3">
        <v>45435</v>
      </c>
      <c r="C391" t="s">
        <v>516</v>
      </c>
      <c r="D391" t="s">
        <v>533</v>
      </c>
      <c r="E391" t="s">
        <v>534</v>
      </c>
      <c r="F391">
        <v>37</v>
      </c>
      <c r="G391">
        <v>33</v>
      </c>
      <c r="H391">
        <v>157</v>
      </c>
      <c r="I391">
        <v>5181</v>
      </c>
      <c r="J391">
        <v>0.1</v>
      </c>
      <c r="K391">
        <v>518.1</v>
      </c>
      <c r="L391">
        <v>5699.1</v>
      </c>
      <c r="M391" t="s">
        <v>541</v>
      </c>
      <c r="N391" t="s">
        <v>550</v>
      </c>
    </row>
    <row r="392" spans="1:14" x14ac:dyDescent="0.3">
      <c r="A392" t="s">
        <v>404</v>
      </c>
      <c r="B392" s="3">
        <v>45828</v>
      </c>
      <c r="C392" t="s">
        <v>514</v>
      </c>
      <c r="D392" t="s">
        <v>527</v>
      </c>
      <c r="E392" t="s">
        <v>538</v>
      </c>
      <c r="F392">
        <v>1</v>
      </c>
      <c r="G392">
        <v>1</v>
      </c>
      <c r="H392">
        <v>208</v>
      </c>
      <c r="I392">
        <v>208</v>
      </c>
      <c r="J392">
        <v>0.22</v>
      </c>
      <c r="K392">
        <v>45.76</v>
      </c>
      <c r="L392">
        <v>253.76</v>
      </c>
      <c r="M392" t="s">
        <v>542</v>
      </c>
      <c r="N392" t="s">
        <v>546</v>
      </c>
    </row>
    <row r="393" spans="1:14" x14ac:dyDescent="0.3">
      <c r="A393" t="s">
        <v>405</v>
      </c>
      <c r="B393" s="3">
        <v>45432</v>
      </c>
      <c r="C393" t="s">
        <v>519</v>
      </c>
      <c r="D393" t="s">
        <v>527</v>
      </c>
      <c r="E393" t="s">
        <v>536</v>
      </c>
      <c r="F393">
        <v>53</v>
      </c>
      <c r="G393">
        <v>55</v>
      </c>
      <c r="H393">
        <v>65</v>
      </c>
      <c r="I393">
        <v>3575</v>
      </c>
      <c r="J393">
        <v>0.22</v>
      </c>
      <c r="K393">
        <v>786.5</v>
      </c>
      <c r="L393">
        <v>4361.5</v>
      </c>
      <c r="M393" t="s">
        <v>542</v>
      </c>
      <c r="N393" t="s">
        <v>545</v>
      </c>
    </row>
    <row r="394" spans="1:14" x14ac:dyDescent="0.3">
      <c r="A394" t="s">
        <v>406</v>
      </c>
      <c r="B394" s="3">
        <v>45758</v>
      </c>
      <c r="C394" t="s">
        <v>518</v>
      </c>
      <c r="D394" t="s">
        <v>524</v>
      </c>
      <c r="E394" t="s">
        <v>539</v>
      </c>
      <c r="F394">
        <v>65</v>
      </c>
      <c r="G394">
        <v>69</v>
      </c>
      <c r="H394">
        <v>154</v>
      </c>
      <c r="I394">
        <v>10626</v>
      </c>
      <c r="J394">
        <v>0.22</v>
      </c>
      <c r="K394">
        <v>2337.7199999999998</v>
      </c>
      <c r="L394">
        <v>12963.72</v>
      </c>
      <c r="M394" t="s">
        <v>541</v>
      </c>
      <c r="N394" t="s">
        <v>552</v>
      </c>
    </row>
    <row r="395" spans="1:14" x14ac:dyDescent="0.3">
      <c r="A395" t="s">
        <v>407</v>
      </c>
      <c r="B395" s="3">
        <v>45791</v>
      </c>
      <c r="C395" t="s">
        <v>514</v>
      </c>
      <c r="D395" t="s">
        <v>524</v>
      </c>
      <c r="E395" t="s">
        <v>539</v>
      </c>
      <c r="F395">
        <v>6</v>
      </c>
      <c r="G395">
        <v>5</v>
      </c>
      <c r="H395">
        <v>161</v>
      </c>
      <c r="I395">
        <v>805</v>
      </c>
      <c r="J395">
        <v>0.22</v>
      </c>
      <c r="K395">
        <v>177.1</v>
      </c>
      <c r="L395">
        <v>982.1</v>
      </c>
      <c r="M395" t="s">
        <v>542</v>
      </c>
      <c r="N395" t="s">
        <v>550</v>
      </c>
    </row>
    <row r="396" spans="1:14" x14ac:dyDescent="0.3">
      <c r="A396" t="s">
        <v>408</v>
      </c>
      <c r="B396" s="3">
        <v>45834</v>
      </c>
      <c r="C396" t="s">
        <v>522</v>
      </c>
      <c r="D396" t="s">
        <v>528</v>
      </c>
      <c r="E396" t="s">
        <v>537</v>
      </c>
      <c r="F396">
        <v>3</v>
      </c>
      <c r="G396">
        <v>3</v>
      </c>
      <c r="H396">
        <v>240</v>
      </c>
      <c r="I396">
        <v>720</v>
      </c>
      <c r="J396">
        <v>0.22</v>
      </c>
      <c r="K396">
        <v>158.4</v>
      </c>
      <c r="L396">
        <v>878.4</v>
      </c>
      <c r="M396" t="s">
        <v>541</v>
      </c>
      <c r="N396" t="s">
        <v>546</v>
      </c>
    </row>
    <row r="397" spans="1:14" x14ac:dyDescent="0.3">
      <c r="A397" t="s">
        <v>409</v>
      </c>
      <c r="B397" s="3">
        <v>45475</v>
      </c>
      <c r="C397" t="s">
        <v>520</v>
      </c>
      <c r="D397" t="s">
        <v>527</v>
      </c>
      <c r="E397" t="s">
        <v>539</v>
      </c>
      <c r="F397">
        <v>27</v>
      </c>
      <c r="G397">
        <v>23</v>
      </c>
      <c r="H397">
        <v>288</v>
      </c>
      <c r="I397">
        <v>6624</v>
      </c>
      <c r="J397">
        <v>0.22</v>
      </c>
      <c r="K397">
        <v>1457.28</v>
      </c>
      <c r="L397">
        <v>8081.28</v>
      </c>
      <c r="M397" t="s">
        <v>542</v>
      </c>
      <c r="N397" t="s">
        <v>553</v>
      </c>
    </row>
    <row r="398" spans="1:14" x14ac:dyDescent="0.3">
      <c r="A398" t="s">
        <v>410</v>
      </c>
      <c r="B398" s="3">
        <v>45831</v>
      </c>
      <c r="C398" t="s">
        <v>522</v>
      </c>
      <c r="D398" t="s">
        <v>531</v>
      </c>
      <c r="E398" t="s">
        <v>537</v>
      </c>
      <c r="F398">
        <v>61</v>
      </c>
      <c r="G398">
        <v>53</v>
      </c>
      <c r="H398">
        <v>224</v>
      </c>
      <c r="I398">
        <v>11872</v>
      </c>
      <c r="J398">
        <v>0.22</v>
      </c>
      <c r="K398">
        <v>2611.84</v>
      </c>
      <c r="L398">
        <v>14483.84</v>
      </c>
      <c r="M398" t="s">
        <v>542</v>
      </c>
      <c r="N398" t="s">
        <v>551</v>
      </c>
    </row>
    <row r="399" spans="1:14" x14ac:dyDescent="0.3">
      <c r="A399" t="s">
        <v>411</v>
      </c>
      <c r="B399" s="3">
        <v>45707</v>
      </c>
      <c r="C399" t="s">
        <v>517</v>
      </c>
      <c r="D399" t="s">
        <v>526</v>
      </c>
      <c r="E399" t="s">
        <v>534</v>
      </c>
      <c r="F399">
        <v>72</v>
      </c>
      <c r="G399">
        <v>74</v>
      </c>
      <c r="H399">
        <v>261</v>
      </c>
      <c r="I399">
        <v>19314</v>
      </c>
      <c r="J399">
        <v>0</v>
      </c>
      <c r="K399">
        <v>0</v>
      </c>
      <c r="L399">
        <v>19314</v>
      </c>
      <c r="M399" t="s">
        <v>541</v>
      </c>
      <c r="N399" t="s">
        <v>549</v>
      </c>
    </row>
    <row r="400" spans="1:14" x14ac:dyDescent="0.3">
      <c r="A400" t="s">
        <v>412</v>
      </c>
      <c r="B400" s="3">
        <v>45599</v>
      </c>
      <c r="C400" t="s">
        <v>520</v>
      </c>
      <c r="D400" t="s">
        <v>529</v>
      </c>
      <c r="E400" t="s">
        <v>538</v>
      </c>
      <c r="F400">
        <v>19</v>
      </c>
      <c r="G400">
        <v>17</v>
      </c>
      <c r="H400">
        <v>144</v>
      </c>
      <c r="I400">
        <v>2448</v>
      </c>
      <c r="J400">
        <v>0</v>
      </c>
      <c r="K400">
        <v>0</v>
      </c>
      <c r="L400">
        <v>2448</v>
      </c>
      <c r="M400" t="s">
        <v>541</v>
      </c>
      <c r="N400" t="s">
        <v>550</v>
      </c>
    </row>
    <row r="401" spans="1:14" x14ac:dyDescent="0.3">
      <c r="A401" t="s">
        <v>413</v>
      </c>
      <c r="B401" s="3">
        <v>45387</v>
      </c>
      <c r="C401" t="s">
        <v>515</v>
      </c>
      <c r="D401" t="s">
        <v>530</v>
      </c>
      <c r="E401" t="s">
        <v>540</v>
      </c>
      <c r="F401">
        <v>86</v>
      </c>
      <c r="G401">
        <v>78</v>
      </c>
      <c r="H401">
        <v>260</v>
      </c>
      <c r="I401">
        <v>20280</v>
      </c>
      <c r="J401">
        <v>0.22</v>
      </c>
      <c r="K401">
        <v>4461.6000000000004</v>
      </c>
      <c r="L401">
        <v>24741.599999999999</v>
      </c>
      <c r="M401" t="s">
        <v>542</v>
      </c>
      <c r="N401" t="s">
        <v>550</v>
      </c>
    </row>
    <row r="402" spans="1:14" x14ac:dyDescent="0.3">
      <c r="A402" t="s">
        <v>414</v>
      </c>
      <c r="B402" s="3">
        <v>45467</v>
      </c>
      <c r="C402" t="s">
        <v>520</v>
      </c>
      <c r="D402" t="s">
        <v>533</v>
      </c>
      <c r="E402" t="s">
        <v>538</v>
      </c>
      <c r="F402">
        <v>1</v>
      </c>
      <c r="G402">
        <v>1</v>
      </c>
      <c r="H402">
        <v>110</v>
      </c>
      <c r="I402">
        <v>110</v>
      </c>
      <c r="J402">
        <v>0.22</v>
      </c>
      <c r="K402">
        <v>24.2</v>
      </c>
      <c r="L402">
        <v>134.19999999999999</v>
      </c>
      <c r="M402" t="s">
        <v>543</v>
      </c>
      <c r="N402" t="s">
        <v>553</v>
      </c>
    </row>
    <row r="403" spans="1:14" x14ac:dyDescent="0.3">
      <c r="A403" t="s">
        <v>415</v>
      </c>
      <c r="B403" s="3">
        <v>45389</v>
      </c>
      <c r="C403" t="s">
        <v>516</v>
      </c>
      <c r="D403" t="s">
        <v>524</v>
      </c>
      <c r="E403" t="s">
        <v>534</v>
      </c>
      <c r="F403">
        <v>52</v>
      </c>
      <c r="G403">
        <v>45</v>
      </c>
      <c r="H403">
        <v>264</v>
      </c>
      <c r="I403">
        <v>11880</v>
      </c>
      <c r="J403">
        <v>0.22</v>
      </c>
      <c r="K403">
        <v>2613.6</v>
      </c>
      <c r="L403">
        <v>14493.6</v>
      </c>
      <c r="M403" t="s">
        <v>541</v>
      </c>
      <c r="N403" t="s">
        <v>553</v>
      </c>
    </row>
    <row r="404" spans="1:14" x14ac:dyDescent="0.3">
      <c r="A404" t="s">
        <v>416</v>
      </c>
      <c r="B404" s="3">
        <v>45778</v>
      </c>
      <c r="C404" t="s">
        <v>522</v>
      </c>
      <c r="D404" t="s">
        <v>524</v>
      </c>
      <c r="E404" t="s">
        <v>535</v>
      </c>
      <c r="F404">
        <v>4</v>
      </c>
      <c r="G404">
        <v>4</v>
      </c>
      <c r="H404">
        <v>249</v>
      </c>
      <c r="I404">
        <v>996</v>
      </c>
      <c r="J404">
        <v>0.22</v>
      </c>
      <c r="K404">
        <v>219.12</v>
      </c>
      <c r="L404">
        <v>1215.1199999999999</v>
      </c>
      <c r="M404" t="s">
        <v>543</v>
      </c>
      <c r="N404" t="s">
        <v>545</v>
      </c>
    </row>
    <row r="405" spans="1:14" x14ac:dyDescent="0.3">
      <c r="A405" t="s">
        <v>417</v>
      </c>
      <c r="B405" s="3">
        <v>45325</v>
      </c>
      <c r="C405" t="s">
        <v>521</v>
      </c>
      <c r="D405" t="s">
        <v>531</v>
      </c>
      <c r="E405" t="s">
        <v>535</v>
      </c>
      <c r="F405">
        <v>73</v>
      </c>
      <c r="G405">
        <v>65</v>
      </c>
      <c r="H405">
        <v>172</v>
      </c>
      <c r="I405">
        <v>11180</v>
      </c>
      <c r="J405">
        <v>0.1</v>
      </c>
      <c r="K405">
        <v>1118</v>
      </c>
      <c r="L405">
        <v>12298</v>
      </c>
      <c r="M405" t="s">
        <v>541</v>
      </c>
      <c r="N405" t="s">
        <v>547</v>
      </c>
    </row>
    <row r="406" spans="1:14" x14ac:dyDescent="0.3">
      <c r="A406" t="s">
        <v>418</v>
      </c>
      <c r="B406" s="3">
        <v>45699</v>
      </c>
      <c r="C406" t="s">
        <v>520</v>
      </c>
      <c r="D406" t="s">
        <v>523</v>
      </c>
      <c r="E406" t="s">
        <v>534</v>
      </c>
      <c r="F406">
        <v>30</v>
      </c>
      <c r="G406">
        <v>32</v>
      </c>
      <c r="H406">
        <v>93</v>
      </c>
      <c r="I406">
        <v>2976</v>
      </c>
      <c r="J406">
        <v>0.22</v>
      </c>
      <c r="K406">
        <v>654.72</v>
      </c>
      <c r="L406">
        <v>3630.72</v>
      </c>
      <c r="M406" t="s">
        <v>541</v>
      </c>
      <c r="N406" t="s">
        <v>546</v>
      </c>
    </row>
    <row r="407" spans="1:14" x14ac:dyDescent="0.3">
      <c r="A407" t="s">
        <v>419</v>
      </c>
      <c r="B407" s="3">
        <v>45631</v>
      </c>
      <c r="C407" t="s">
        <v>515</v>
      </c>
      <c r="D407" t="s">
        <v>532</v>
      </c>
      <c r="E407" t="s">
        <v>538</v>
      </c>
      <c r="F407">
        <v>83</v>
      </c>
      <c r="G407">
        <v>72</v>
      </c>
      <c r="H407">
        <v>98</v>
      </c>
      <c r="I407">
        <v>7056</v>
      </c>
      <c r="J407">
        <v>0.1</v>
      </c>
      <c r="K407">
        <v>705.6</v>
      </c>
      <c r="L407">
        <v>7761.6</v>
      </c>
      <c r="M407" t="s">
        <v>541</v>
      </c>
      <c r="N407" t="s">
        <v>544</v>
      </c>
    </row>
    <row r="408" spans="1:14" x14ac:dyDescent="0.3">
      <c r="A408" t="s">
        <v>420</v>
      </c>
      <c r="B408" s="3">
        <v>45804</v>
      </c>
      <c r="C408" t="s">
        <v>518</v>
      </c>
      <c r="D408" t="s">
        <v>524</v>
      </c>
      <c r="E408" t="s">
        <v>535</v>
      </c>
      <c r="F408">
        <v>25</v>
      </c>
      <c r="G408">
        <v>26</v>
      </c>
      <c r="H408">
        <v>221</v>
      </c>
      <c r="I408">
        <v>5746</v>
      </c>
      <c r="J408">
        <v>0.22</v>
      </c>
      <c r="K408">
        <v>1264.1199999999999</v>
      </c>
      <c r="L408">
        <v>7010.12</v>
      </c>
      <c r="M408" t="s">
        <v>542</v>
      </c>
      <c r="N408" t="s">
        <v>551</v>
      </c>
    </row>
    <row r="409" spans="1:14" x14ac:dyDescent="0.3">
      <c r="A409" t="s">
        <v>421</v>
      </c>
      <c r="B409" s="3">
        <v>45698</v>
      </c>
      <c r="C409" t="s">
        <v>518</v>
      </c>
      <c r="D409" t="s">
        <v>524</v>
      </c>
      <c r="E409" t="s">
        <v>536</v>
      </c>
      <c r="F409">
        <v>43</v>
      </c>
      <c r="G409">
        <v>54</v>
      </c>
      <c r="H409">
        <v>177</v>
      </c>
      <c r="I409">
        <v>9558</v>
      </c>
      <c r="J409">
        <v>0.22</v>
      </c>
      <c r="K409">
        <v>2102.7600000000002</v>
      </c>
      <c r="L409">
        <v>11660.76</v>
      </c>
      <c r="M409" t="s">
        <v>543</v>
      </c>
      <c r="N409" t="s">
        <v>552</v>
      </c>
    </row>
    <row r="410" spans="1:14" x14ac:dyDescent="0.3">
      <c r="A410" t="s">
        <v>422</v>
      </c>
      <c r="B410" s="3">
        <v>45525</v>
      </c>
      <c r="C410" t="s">
        <v>518</v>
      </c>
      <c r="D410" t="s">
        <v>528</v>
      </c>
      <c r="E410" t="s">
        <v>540</v>
      </c>
      <c r="F410">
        <v>3</v>
      </c>
      <c r="G410">
        <v>3</v>
      </c>
      <c r="H410">
        <v>182</v>
      </c>
      <c r="I410">
        <v>546</v>
      </c>
      <c r="J410">
        <v>0.22</v>
      </c>
      <c r="K410">
        <v>120.12</v>
      </c>
      <c r="L410">
        <v>666.12</v>
      </c>
      <c r="M410" t="s">
        <v>541</v>
      </c>
      <c r="N410" t="s">
        <v>553</v>
      </c>
    </row>
    <row r="411" spans="1:14" x14ac:dyDescent="0.3">
      <c r="A411" t="s">
        <v>423</v>
      </c>
      <c r="B411" s="3">
        <v>45681</v>
      </c>
      <c r="C411" t="s">
        <v>520</v>
      </c>
      <c r="D411" t="s">
        <v>526</v>
      </c>
      <c r="E411" t="s">
        <v>537</v>
      </c>
      <c r="F411">
        <v>42</v>
      </c>
      <c r="G411">
        <v>50</v>
      </c>
      <c r="H411">
        <v>71</v>
      </c>
      <c r="I411">
        <v>3550</v>
      </c>
      <c r="J411">
        <v>0</v>
      </c>
      <c r="K411">
        <v>0</v>
      </c>
      <c r="L411">
        <v>3550</v>
      </c>
      <c r="M411" t="s">
        <v>542</v>
      </c>
      <c r="N411" t="s">
        <v>544</v>
      </c>
    </row>
    <row r="412" spans="1:14" x14ac:dyDescent="0.3">
      <c r="A412" t="s">
        <v>424</v>
      </c>
      <c r="B412" s="3">
        <v>45376</v>
      </c>
      <c r="C412" t="s">
        <v>522</v>
      </c>
      <c r="D412" t="s">
        <v>532</v>
      </c>
      <c r="E412" t="s">
        <v>540</v>
      </c>
      <c r="F412">
        <v>60</v>
      </c>
      <c r="G412">
        <v>65</v>
      </c>
      <c r="H412">
        <v>113</v>
      </c>
      <c r="I412">
        <v>7345</v>
      </c>
      <c r="J412">
        <v>0.22</v>
      </c>
      <c r="K412">
        <v>1615.9</v>
      </c>
      <c r="L412">
        <v>8960.9</v>
      </c>
      <c r="M412" t="s">
        <v>541</v>
      </c>
      <c r="N412" t="s">
        <v>547</v>
      </c>
    </row>
    <row r="413" spans="1:14" x14ac:dyDescent="0.3">
      <c r="A413" t="s">
        <v>425</v>
      </c>
      <c r="B413" s="3">
        <v>45690</v>
      </c>
      <c r="C413" t="s">
        <v>518</v>
      </c>
      <c r="D413" t="s">
        <v>531</v>
      </c>
      <c r="E413" t="s">
        <v>535</v>
      </c>
      <c r="F413">
        <v>6</v>
      </c>
      <c r="G413">
        <v>5</v>
      </c>
      <c r="H413">
        <v>281</v>
      </c>
      <c r="I413">
        <v>1405</v>
      </c>
      <c r="J413">
        <v>0.22</v>
      </c>
      <c r="K413">
        <v>309.10000000000002</v>
      </c>
      <c r="L413">
        <v>1714.1</v>
      </c>
      <c r="M413" t="s">
        <v>543</v>
      </c>
      <c r="N413" t="s">
        <v>552</v>
      </c>
    </row>
    <row r="414" spans="1:14" x14ac:dyDescent="0.3">
      <c r="A414" t="s">
        <v>426</v>
      </c>
      <c r="B414" s="3">
        <v>45660</v>
      </c>
      <c r="C414" t="s">
        <v>522</v>
      </c>
      <c r="D414" t="s">
        <v>527</v>
      </c>
      <c r="E414" t="s">
        <v>534</v>
      </c>
      <c r="F414">
        <v>67</v>
      </c>
      <c r="G414">
        <v>57</v>
      </c>
      <c r="H414">
        <v>204</v>
      </c>
      <c r="I414">
        <v>11628</v>
      </c>
      <c r="J414">
        <v>0.22</v>
      </c>
      <c r="K414">
        <v>2558.16</v>
      </c>
      <c r="L414">
        <v>14186.16</v>
      </c>
      <c r="M414" t="s">
        <v>543</v>
      </c>
      <c r="N414" t="s">
        <v>552</v>
      </c>
    </row>
    <row r="415" spans="1:14" x14ac:dyDescent="0.3">
      <c r="A415" t="s">
        <v>427</v>
      </c>
      <c r="B415" s="3">
        <v>45816</v>
      </c>
      <c r="C415" t="s">
        <v>515</v>
      </c>
      <c r="D415" t="s">
        <v>527</v>
      </c>
      <c r="E415" t="s">
        <v>535</v>
      </c>
      <c r="F415">
        <v>48</v>
      </c>
      <c r="G415">
        <v>47</v>
      </c>
      <c r="H415">
        <v>210</v>
      </c>
      <c r="I415">
        <v>9870</v>
      </c>
      <c r="J415">
        <v>0.22</v>
      </c>
      <c r="K415">
        <v>2171.4</v>
      </c>
      <c r="L415">
        <v>12041.4</v>
      </c>
      <c r="M415" t="s">
        <v>541</v>
      </c>
      <c r="N415" t="s">
        <v>544</v>
      </c>
    </row>
    <row r="416" spans="1:14" x14ac:dyDescent="0.3">
      <c r="A416" t="s">
        <v>428</v>
      </c>
      <c r="B416" s="3">
        <v>45624</v>
      </c>
      <c r="C416" t="s">
        <v>515</v>
      </c>
      <c r="D416" t="s">
        <v>524</v>
      </c>
      <c r="E416" t="s">
        <v>537</v>
      </c>
      <c r="F416">
        <v>83</v>
      </c>
      <c r="G416">
        <v>79</v>
      </c>
      <c r="H416">
        <v>288</v>
      </c>
      <c r="I416">
        <v>22752</v>
      </c>
      <c r="J416">
        <v>0.22</v>
      </c>
      <c r="K416">
        <v>5005.4399999999996</v>
      </c>
      <c r="L416">
        <v>27757.439999999999</v>
      </c>
      <c r="M416" t="s">
        <v>542</v>
      </c>
      <c r="N416" t="s">
        <v>545</v>
      </c>
    </row>
    <row r="417" spans="1:14" x14ac:dyDescent="0.3">
      <c r="A417" t="s">
        <v>429</v>
      </c>
      <c r="B417" s="3">
        <v>45540</v>
      </c>
      <c r="C417" t="s">
        <v>516</v>
      </c>
      <c r="D417" t="s">
        <v>532</v>
      </c>
      <c r="E417" t="s">
        <v>536</v>
      </c>
      <c r="F417">
        <v>14</v>
      </c>
      <c r="G417">
        <v>14</v>
      </c>
      <c r="H417">
        <v>125</v>
      </c>
      <c r="I417">
        <v>1750</v>
      </c>
      <c r="J417">
        <v>0.22</v>
      </c>
      <c r="K417">
        <v>385</v>
      </c>
      <c r="L417">
        <v>2135</v>
      </c>
      <c r="M417" t="s">
        <v>542</v>
      </c>
      <c r="N417" t="s">
        <v>548</v>
      </c>
    </row>
    <row r="418" spans="1:14" x14ac:dyDescent="0.3">
      <c r="A418" t="s">
        <v>430</v>
      </c>
      <c r="B418" s="3">
        <v>45600</v>
      </c>
      <c r="C418" t="s">
        <v>522</v>
      </c>
      <c r="D418" t="s">
        <v>533</v>
      </c>
      <c r="E418" t="s">
        <v>534</v>
      </c>
      <c r="F418">
        <v>69</v>
      </c>
      <c r="G418">
        <v>75</v>
      </c>
      <c r="H418">
        <v>238</v>
      </c>
      <c r="I418">
        <v>17850</v>
      </c>
      <c r="J418">
        <v>0.22</v>
      </c>
      <c r="K418">
        <v>3927</v>
      </c>
      <c r="L418">
        <v>21777</v>
      </c>
      <c r="M418" t="s">
        <v>543</v>
      </c>
      <c r="N418" t="s">
        <v>548</v>
      </c>
    </row>
    <row r="419" spans="1:14" x14ac:dyDescent="0.3">
      <c r="A419" t="s">
        <v>431</v>
      </c>
      <c r="B419" s="3">
        <v>45723</v>
      </c>
      <c r="C419" t="s">
        <v>522</v>
      </c>
      <c r="D419" t="s">
        <v>533</v>
      </c>
      <c r="E419" t="s">
        <v>538</v>
      </c>
      <c r="F419">
        <v>35</v>
      </c>
      <c r="G419">
        <v>38</v>
      </c>
      <c r="H419">
        <v>251</v>
      </c>
      <c r="I419">
        <v>9538</v>
      </c>
      <c r="J419">
        <v>0.22</v>
      </c>
      <c r="K419">
        <v>2098.36</v>
      </c>
      <c r="L419">
        <v>11636.36</v>
      </c>
      <c r="M419" t="s">
        <v>543</v>
      </c>
      <c r="N419" t="s">
        <v>549</v>
      </c>
    </row>
    <row r="420" spans="1:14" x14ac:dyDescent="0.3">
      <c r="A420" t="s">
        <v>432</v>
      </c>
      <c r="B420" s="3">
        <v>45799</v>
      </c>
      <c r="C420" t="s">
        <v>519</v>
      </c>
      <c r="D420" t="s">
        <v>533</v>
      </c>
      <c r="E420" t="s">
        <v>535</v>
      </c>
      <c r="F420">
        <v>41</v>
      </c>
      <c r="G420">
        <v>38</v>
      </c>
      <c r="H420">
        <v>109</v>
      </c>
      <c r="I420">
        <v>4142</v>
      </c>
      <c r="J420">
        <v>0.22</v>
      </c>
      <c r="K420">
        <v>911.24</v>
      </c>
      <c r="L420">
        <v>5053.24</v>
      </c>
      <c r="M420" t="s">
        <v>542</v>
      </c>
      <c r="N420" t="s">
        <v>546</v>
      </c>
    </row>
    <row r="421" spans="1:14" x14ac:dyDescent="0.3">
      <c r="A421" t="s">
        <v>433</v>
      </c>
      <c r="B421" s="3">
        <v>45632</v>
      </c>
      <c r="C421" t="s">
        <v>515</v>
      </c>
      <c r="D421" t="s">
        <v>531</v>
      </c>
      <c r="E421" t="s">
        <v>540</v>
      </c>
      <c r="F421">
        <v>33</v>
      </c>
      <c r="G421">
        <v>30</v>
      </c>
      <c r="H421">
        <v>138</v>
      </c>
      <c r="I421">
        <v>4140</v>
      </c>
      <c r="J421">
        <v>0.22</v>
      </c>
      <c r="K421">
        <v>910.8</v>
      </c>
      <c r="L421">
        <v>5050.8</v>
      </c>
      <c r="M421" t="s">
        <v>541</v>
      </c>
      <c r="N421" t="s">
        <v>553</v>
      </c>
    </row>
    <row r="422" spans="1:14" x14ac:dyDescent="0.3">
      <c r="A422" t="s">
        <v>434</v>
      </c>
      <c r="B422" s="3">
        <v>45431</v>
      </c>
      <c r="C422" t="s">
        <v>522</v>
      </c>
      <c r="D422" t="s">
        <v>531</v>
      </c>
      <c r="E422" t="s">
        <v>539</v>
      </c>
      <c r="F422">
        <v>57</v>
      </c>
      <c r="G422">
        <v>51</v>
      </c>
      <c r="H422">
        <v>250</v>
      </c>
      <c r="I422">
        <v>12750</v>
      </c>
      <c r="J422">
        <v>0.1</v>
      </c>
      <c r="K422">
        <v>1275</v>
      </c>
      <c r="L422">
        <v>14025</v>
      </c>
      <c r="M422" t="s">
        <v>542</v>
      </c>
      <c r="N422" t="s">
        <v>552</v>
      </c>
    </row>
    <row r="423" spans="1:14" x14ac:dyDescent="0.3">
      <c r="A423" t="s">
        <v>435</v>
      </c>
      <c r="B423" s="3">
        <v>45613</v>
      </c>
      <c r="C423" t="s">
        <v>521</v>
      </c>
      <c r="D423" t="s">
        <v>530</v>
      </c>
      <c r="E423" t="s">
        <v>537</v>
      </c>
      <c r="F423">
        <v>58</v>
      </c>
      <c r="G423">
        <v>52</v>
      </c>
      <c r="H423">
        <v>225</v>
      </c>
      <c r="I423">
        <v>11700</v>
      </c>
      <c r="J423">
        <v>0.22</v>
      </c>
      <c r="K423">
        <v>2574</v>
      </c>
      <c r="L423">
        <v>14274</v>
      </c>
      <c r="M423" t="s">
        <v>541</v>
      </c>
      <c r="N423" t="s">
        <v>552</v>
      </c>
    </row>
    <row r="424" spans="1:14" x14ac:dyDescent="0.3">
      <c r="A424" t="s">
        <v>436</v>
      </c>
      <c r="B424" s="3">
        <v>45540</v>
      </c>
      <c r="C424" t="s">
        <v>518</v>
      </c>
      <c r="D424" t="s">
        <v>530</v>
      </c>
      <c r="E424" t="s">
        <v>537</v>
      </c>
      <c r="F424">
        <v>66</v>
      </c>
      <c r="G424">
        <v>79</v>
      </c>
      <c r="H424">
        <v>89</v>
      </c>
      <c r="I424">
        <v>7031</v>
      </c>
      <c r="J424">
        <v>0.22</v>
      </c>
      <c r="K424">
        <v>1546.82</v>
      </c>
      <c r="L424">
        <v>8577.82</v>
      </c>
      <c r="M424" t="s">
        <v>543</v>
      </c>
      <c r="N424" t="s">
        <v>551</v>
      </c>
    </row>
    <row r="425" spans="1:14" x14ac:dyDescent="0.3">
      <c r="A425" t="s">
        <v>437</v>
      </c>
      <c r="B425" s="3">
        <v>45408</v>
      </c>
      <c r="C425" t="s">
        <v>519</v>
      </c>
      <c r="D425" t="s">
        <v>526</v>
      </c>
      <c r="E425" t="s">
        <v>539</v>
      </c>
      <c r="F425">
        <v>51</v>
      </c>
      <c r="G425">
        <v>51</v>
      </c>
      <c r="H425">
        <v>140</v>
      </c>
      <c r="I425">
        <v>7140</v>
      </c>
      <c r="J425">
        <v>0</v>
      </c>
      <c r="K425">
        <v>0</v>
      </c>
      <c r="L425">
        <v>7140</v>
      </c>
      <c r="M425" t="s">
        <v>542</v>
      </c>
      <c r="N425" t="s">
        <v>545</v>
      </c>
    </row>
    <row r="426" spans="1:14" x14ac:dyDescent="0.3">
      <c r="A426" t="s">
        <v>438</v>
      </c>
      <c r="B426" s="3">
        <v>45319</v>
      </c>
      <c r="C426" t="s">
        <v>517</v>
      </c>
      <c r="D426" t="s">
        <v>525</v>
      </c>
      <c r="E426" t="s">
        <v>540</v>
      </c>
      <c r="F426">
        <v>4</v>
      </c>
      <c r="G426">
        <v>5</v>
      </c>
      <c r="H426">
        <v>88</v>
      </c>
      <c r="I426">
        <v>440</v>
      </c>
      <c r="J426">
        <v>0.22</v>
      </c>
      <c r="K426">
        <v>96.8</v>
      </c>
      <c r="L426">
        <v>536.79999999999995</v>
      </c>
      <c r="M426" t="s">
        <v>541</v>
      </c>
      <c r="N426" t="s">
        <v>544</v>
      </c>
    </row>
    <row r="427" spans="1:14" x14ac:dyDescent="0.3">
      <c r="A427" t="s">
        <v>439</v>
      </c>
      <c r="B427" s="3">
        <v>45710</v>
      </c>
      <c r="C427" t="s">
        <v>517</v>
      </c>
      <c r="D427" t="s">
        <v>532</v>
      </c>
      <c r="E427" t="s">
        <v>536</v>
      </c>
      <c r="F427">
        <v>4</v>
      </c>
      <c r="G427">
        <v>4</v>
      </c>
      <c r="H427">
        <v>197</v>
      </c>
      <c r="I427">
        <v>788</v>
      </c>
      <c r="J427">
        <v>0.22</v>
      </c>
      <c r="K427">
        <v>173.36</v>
      </c>
      <c r="L427">
        <v>961.36</v>
      </c>
      <c r="M427" t="s">
        <v>543</v>
      </c>
      <c r="N427" t="s">
        <v>547</v>
      </c>
    </row>
    <row r="428" spans="1:14" x14ac:dyDescent="0.3">
      <c r="A428" t="s">
        <v>440</v>
      </c>
      <c r="B428" s="3">
        <v>45725</v>
      </c>
      <c r="C428" t="s">
        <v>515</v>
      </c>
      <c r="D428" t="s">
        <v>527</v>
      </c>
      <c r="E428" t="s">
        <v>540</v>
      </c>
      <c r="F428">
        <v>55</v>
      </c>
      <c r="G428">
        <v>56</v>
      </c>
      <c r="H428">
        <v>204</v>
      </c>
      <c r="I428">
        <v>11424</v>
      </c>
      <c r="J428">
        <v>0.1</v>
      </c>
      <c r="K428">
        <v>1142.4000000000001</v>
      </c>
      <c r="L428">
        <v>12566.4</v>
      </c>
      <c r="M428" t="s">
        <v>543</v>
      </c>
      <c r="N428" t="s">
        <v>553</v>
      </c>
    </row>
    <row r="429" spans="1:14" x14ac:dyDescent="0.3">
      <c r="A429" t="s">
        <v>441</v>
      </c>
      <c r="B429" s="3">
        <v>45702</v>
      </c>
      <c r="C429" t="s">
        <v>516</v>
      </c>
      <c r="D429" t="s">
        <v>528</v>
      </c>
      <c r="E429" t="s">
        <v>538</v>
      </c>
      <c r="F429">
        <v>85</v>
      </c>
      <c r="G429">
        <v>74</v>
      </c>
      <c r="H429">
        <v>76</v>
      </c>
      <c r="I429">
        <v>5624</v>
      </c>
      <c r="J429">
        <v>0.22</v>
      </c>
      <c r="K429">
        <v>1237.28</v>
      </c>
      <c r="L429">
        <v>6861.28</v>
      </c>
      <c r="M429" t="s">
        <v>541</v>
      </c>
      <c r="N429" t="s">
        <v>550</v>
      </c>
    </row>
    <row r="430" spans="1:14" x14ac:dyDescent="0.3">
      <c r="A430" t="s">
        <v>442</v>
      </c>
      <c r="B430" s="3">
        <v>45660</v>
      </c>
      <c r="C430" t="s">
        <v>516</v>
      </c>
      <c r="D430" t="s">
        <v>526</v>
      </c>
      <c r="E430" t="s">
        <v>536</v>
      </c>
      <c r="F430">
        <v>65</v>
      </c>
      <c r="G430">
        <v>69</v>
      </c>
      <c r="H430">
        <v>93</v>
      </c>
      <c r="I430">
        <v>6417</v>
      </c>
      <c r="J430">
        <v>0</v>
      </c>
      <c r="K430">
        <v>0</v>
      </c>
      <c r="L430">
        <v>6417</v>
      </c>
      <c r="M430" t="s">
        <v>542</v>
      </c>
      <c r="N430" t="s">
        <v>544</v>
      </c>
    </row>
    <row r="431" spans="1:14" x14ac:dyDescent="0.3">
      <c r="A431" t="s">
        <v>443</v>
      </c>
      <c r="B431" s="3">
        <v>45546</v>
      </c>
      <c r="C431" t="s">
        <v>518</v>
      </c>
      <c r="D431" t="s">
        <v>532</v>
      </c>
      <c r="E431" t="s">
        <v>536</v>
      </c>
      <c r="F431">
        <v>5</v>
      </c>
      <c r="G431">
        <v>6</v>
      </c>
      <c r="H431">
        <v>112</v>
      </c>
      <c r="I431">
        <v>672</v>
      </c>
      <c r="J431">
        <v>0.22</v>
      </c>
      <c r="K431">
        <v>147.84</v>
      </c>
      <c r="L431">
        <v>819.84</v>
      </c>
      <c r="M431" t="s">
        <v>541</v>
      </c>
      <c r="N431" t="s">
        <v>546</v>
      </c>
    </row>
    <row r="432" spans="1:14" x14ac:dyDescent="0.3">
      <c r="A432" t="s">
        <v>444</v>
      </c>
      <c r="B432" s="3">
        <v>45631</v>
      </c>
      <c r="C432" t="s">
        <v>515</v>
      </c>
      <c r="D432" t="s">
        <v>527</v>
      </c>
      <c r="E432" t="s">
        <v>535</v>
      </c>
      <c r="F432">
        <v>57</v>
      </c>
      <c r="G432">
        <v>66</v>
      </c>
      <c r="H432">
        <v>264</v>
      </c>
      <c r="I432">
        <v>17424</v>
      </c>
      <c r="J432">
        <v>0.22</v>
      </c>
      <c r="K432">
        <v>3833.28</v>
      </c>
      <c r="L432">
        <v>21257.279999999999</v>
      </c>
      <c r="M432" t="s">
        <v>542</v>
      </c>
      <c r="N432" t="s">
        <v>545</v>
      </c>
    </row>
    <row r="433" spans="1:14" x14ac:dyDescent="0.3">
      <c r="A433" t="s">
        <v>445</v>
      </c>
      <c r="B433" s="3">
        <v>45823</v>
      </c>
      <c r="C433" t="s">
        <v>516</v>
      </c>
      <c r="D433" t="s">
        <v>526</v>
      </c>
      <c r="E433" t="s">
        <v>536</v>
      </c>
      <c r="F433">
        <v>47</v>
      </c>
      <c r="G433">
        <v>43</v>
      </c>
      <c r="H433">
        <v>299</v>
      </c>
      <c r="I433">
        <v>12857</v>
      </c>
      <c r="J433">
        <v>0</v>
      </c>
      <c r="K433">
        <v>0</v>
      </c>
      <c r="L433">
        <v>12857</v>
      </c>
      <c r="M433" t="s">
        <v>541</v>
      </c>
      <c r="N433" t="s">
        <v>549</v>
      </c>
    </row>
    <row r="434" spans="1:14" x14ac:dyDescent="0.3">
      <c r="A434" t="s">
        <v>446</v>
      </c>
      <c r="B434" s="3">
        <v>45748</v>
      </c>
      <c r="C434" t="s">
        <v>518</v>
      </c>
      <c r="D434" t="s">
        <v>530</v>
      </c>
      <c r="E434" t="s">
        <v>540</v>
      </c>
      <c r="F434">
        <v>79</v>
      </c>
      <c r="G434">
        <v>75</v>
      </c>
      <c r="H434">
        <v>174</v>
      </c>
      <c r="I434">
        <v>13050</v>
      </c>
      <c r="J434">
        <v>0.22</v>
      </c>
      <c r="K434">
        <v>2871</v>
      </c>
      <c r="L434">
        <v>15921</v>
      </c>
      <c r="M434" t="s">
        <v>541</v>
      </c>
      <c r="N434" t="s">
        <v>545</v>
      </c>
    </row>
    <row r="435" spans="1:14" x14ac:dyDescent="0.3">
      <c r="A435" t="s">
        <v>447</v>
      </c>
      <c r="B435" s="3">
        <v>45446</v>
      </c>
      <c r="C435" t="s">
        <v>518</v>
      </c>
      <c r="D435" t="s">
        <v>524</v>
      </c>
      <c r="E435" t="s">
        <v>540</v>
      </c>
      <c r="F435">
        <v>19</v>
      </c>
      <c r="G435">
        <v>23</v>
      </c>
      <c r="H435">
        <v>242</v>
      </c>
      <c r="I435">
        <v>5566</v>
      </c>
      <c r="J435">
        <v>0.22</v>
      </c>
      <c r="K435">
        <v>1224.52</v>
      </c>
      <c r="L435">
        <v>6790.52</v>
      </c>
      <c r="M435" t="s">
        <v>543</v>
      </c>
      <c r="N435" t="s">
        <v>544</v>
      </c>
    </row>
    <row r="436" spans="1:14" x14ac:dyDescent="0.3">
      <c r="A436" t="s">
        <v>448</v>
      </c>
      <c r="B436" s="3">
        <v>45410</v>
      </c>
      <c r="C436" t="s">
        <v>521</v>
      </c>
      <c r="D436" t="s">
        <v>531</v>
      </c>
      <c r="E436" t="s">
        <v>537</v>
      </c>
      <c r="F436">
        <v>67</v>
      </c>
      <c r="G436">
        <v>80</v>
      </c>
      <c r="H436">
        <v>154</v>
      </c>
      <c r="I436">
        <v>12320</v>
      </c>
      <c r="J436">
        <v>0.22</v>
      </c>
      <c r="K436">
        <v>2710.4</v>
      </c>
      <c r="L436">
        <v>15030.4</v>
      </c>
      <c r="M436" t="s">
        <v>542</v>
      </c>
      <c r="N436" t="s">
        <v>545</v>
      </c>
    </row>
    <row r="437" spans="1:14" x14ac:dyDescent="0.3">
      <c r="A437" t="s">
        <v>449</v>
      </c>
      <c r="B437" s="3">
        <v>45786</v>
      </c>
      <c r="C437" t="s">
        <v>518</v>
      </c>
      <c r="D437" t="s">
        <v>533</v>
      </c>
      <c r="E437" t="s">
        <v>535</v>
      </c>
      <c r="F437">
        <v>81</v>
      </c>
      <c r="G437">
        <v>75</v>
      </c>
      <c r="H437">
        <v>177</v>
      </c>
      <c r="I437">
        <v>13275</v>
      </c>
      <c r="J437">
        <v>0.22</v>
      </c>
      <c r="K437">
        <v>2920.5</v>
      </c>
      <c r="L437">
        <v>16195.5</v>
      </c>
      <c r="M437" t="s">
        <v>541</v>
      </c>
      <c r="N437" t="s">
        <v>552</v>
      </c>
    </row>
    <row r="438" spans="1:14" x14ac:dyDescent="0.3">
      <c r="A438" t="s">
        <v>450</v>
      </c>
      <c r="B438" s="3">
        <v>45618</v>
      </c>
      <c r="C438" t="s">
        <v>520</v>
      </c>
      <c r="D438" t="s">
        <v>523</v>
      </c>
      <c r="E438" t="s">
        <v>535</v>
      </c>
      <c r="F438">
        <v>13</v>
      </c>
      <c r="G438">
        <v>16</v>
      </c>
      <c r="H438">
        <v>67</v>
      </c>
      <c r="I438">
        <v>1072</v>
      </c>
      <c r="J438">
        <v>0.22</v>
      </c>
      <c r="K438">
        <v>235.84</v>
      </c>
      <c r="L438">
        <v>1307.8399999999999</v>
      </c>
      <c r="M438" t="s">
        <v>542</v>
      </c>
      <c r="N438" t="s">
        <v>550</v>
      </c>
    </row>
    <row r="439" spans="1:14" x14ac:dyDescent="0.3">
      <c r="A439" t="s">
        <v>451</v>
      </c>
      <c r="B439" s="3">
        <v>45643</v>
      </c>
      <c r="C439" t="s">
        <v>520</v>
      </c>
      <c r="D439" t="s">
        <v>529</v>
      </c>
      <c r="E439" t="s">
        <v>538</v>
      </c>
      <c r="F439">
        <v>5</v>
      </c>
      <c r="G439">
        <v>4</v>
      </c>
      <c r="H439">
        <v>163</v>
      </c>
      <c r="I439">
        <v>652</v>
      </c>
      <c r="J439">
        <v>0</v>
      </c>
      <c r="K439">
        <v>0</v>
      </c>
      <c r="L439">
        <v>652</v>
      </c>
      <c r="M439" t="s">
        <v>542</v>
      </c>
      <c r="N439" t="s">
        <v>549</v>
      </c>
    </row>
    <row r="440" spans="1:14" x14ac:dyDescent="0.3">
      <c r="A440" t="s">
        <v>452</v>
      </c>
      <c r="B440" s="3">
        <v>45820</v>
      </c>
      <c r="C440" t="s">
        <v>521</v>
      </c>
      <c r="D440" t="s">
        <v>528</v>
      </c>
      <c r="E440" t="s">
        <v>534</v>
      </c>
      <c r="F440">
        <v>4</v>
      </c>
      <c r="G440">
        <v>4</v>
      </c>
      <c r="H440">
        <v>243</v>
      </c>
      <c r="I440">
        <v>972</v>
      </c>
      <c r="J440">
        <v>0.22</v>
      </c>
      <c r="K440">
        <v>213.84</v>
      </c>
      <c r="L440">
        <v>1185.8399999999999</v>
      </c>
      <c r="M440" t="s">
        <v>543</v>
      </c>
      <c r="N440" t="s">
        <v>552</v>
      </c>
    </row>
    <row r="441" spans="1:14" x14ac:dyDescent="0.3">
      <c r="A441" t="s">
        <v>453</v>
      </c>
      <c r="B441" s="3">
        <v>45529</v>
      </c>
      <c r="C441" t="s">
        <v>515</v>
      </c>
      <c r="D441" t="s">
        <v>529</v>
      </c>
      <c r="E441" t="s">
        <v>534</v>
      </c>
      <c r="F441">
        <v>21</v>
      </c>
      <c r="G441">
        <v>25</v>
      </c>
      <c r="H441">
        <v>254</v>
      </c>
      <c r="I441">
        <v>6350</v>
      </c>
      <c r="J441">
        <v>0</v>
      </c>
      <c r="K441">
        <v>0</v>
      </c>
      <c r="L441">
        <v>6350</v>
      </c>
      <c r="M441" t="s">
        <v>542</v>
      </c>
      <c r="N441" t="s">
        <v>546</v>
      </c>
    </row>
    <row r="442" spans="1:14" x14ac:dyDescent="0.3">
      <c r="A442" t="s">
        <v>454</v>
      </c>
      <c r="B442" s="3">
        <v>45697</v>
      </c>
      <c r="C442" t="s">
        <v>514</v>
      </c>
      <c r="D442" t="s">
        <v>526</v>
      </c>
      <c r="E442" t="s">
        <v>534</v>
      </c>
      <c r="F442">
        <v>56</v>
      </c>
      <c r="G442">
        <v>67</v>
      </c>
      <c r="H442">
        <v>214</v>
      </c>
      <c r="I442">
        <v>14338</v>
      </c>
      <c r="J442">
        <v>0</v>
      </c>
      <c r="K442">
        <v>0</v>
      </c>
      <c r="L442">
        <v>14338</v>
      </c>
      <c r="M442" t="s">
        <v>543</v>
      </c>
      <c r="N442" t="s">
        <v>553</v>
      </c>
    </row>
    <row r="443" spans="1:14" x14ac:dyDescent="0.3">
      <c r="A443" t="s">
        <v>455</v>
      </c>
      <c r="B443" s="3">
        <v>45731</v>
      </c>
      <c r="C443" t="s">
        <v>515</v>
      </c>
      <c r="D443" t="s">
        <v>524</v>
      </c>
      <c r="E443" t="s">
        <v>536</v>
      </c>
      <c r="F443">
        <v>38</v>
      </c>
      <c r="G443">
        <v>32</v>
      </c>
      <c r="H443">
        <v>237</v>
      </c>
      <c r="I443">
        <v>7584</v>
      </c>
      <c r="J443">
        <v>0.22</v>
      </c>
      <c r="K443">
        <v>1668.48</v>
      </c>
      <c r="L443">
        <v>9252.48</v>
      </c>
      <c r="M443" t="s">
        <v>543</v>
      </c>
      <c r="N443" t="s">
        <v>544</v>
      </c>
    </row>
    <row r="444" spans="1:14" x14ac:dyDescent="0.3">
      <c r="A444" t="s">
        <v>456</v>
      </c>
      <c r="B444" s="3">
        <v>45396</v>
      </c>
      <c r="C444" t="s">
        <v>516</v>
      </c>
      <c r="D444" t="s">
        <v>532</v>
      </c>
      <c r="E444" t="s">
        <v>537</v>
      </c>
      <c r="F444">
        <v>58</v>
      </c>
      <c r="G444">
        <v>61</v>
      </c>
      <c r="H444">
        <v>181</v>
      </c>
      <c r="I444">
        <v>11041</v>
      </c>
      <c r="J444">
        <v>0.22</v>
      </c>
      <c r="K444">
        <v>2429.02</v>
      </c>
      <c r="L444">
        <v>13470.02</v>
      </c>
      <c r="M444" t="s">
        <v>543</v>
      </c>
      <c r="N444" t="s">
        <v>544</v>
      </c>
    </row>
    <row r="445" spans="1:14" x14ac:dyDescent="0.3">
      <c r="A445" t="s">
        <v>457</v>
      </c>
      <c r="B445" s="3">
        <v>45560</v>
      </c>
      <c r="C445" t="s">
        <v>517</v>
      </c>
      <c r="D445" t="s">
        <v>528</v>
      </c>
      <c r="E445" t="s">
        <v>536</v>
      </c>
      <c r="F445">
        <v>48</v>
      </c>
      <c r="G445">
        <v>51</v>
      </c>
      <c r="H445">
        <v>206</v>
      </c>
      <c r="I445">
        <v>10506</v>
      </c>
      <c r="J445">
        <v>0.22</v>
      </c>
      <c r="K445">
        <v>2311.3200000000002</v>
      </c>
      <c r="L445">
        <v>12817.32</v>
      </c>
      <c r="M445" t="s">
        <v>543</v>
      </c>
      <c r="N445" t="s">
        <v>553</v>
      </c>
    </row>
    <row r="446" spans="1:14" x14ac:dyDescent="0.3">
      <c r="A446" t="s">
        <v>458</v>
      </c>
      <c r="B446" s="3">
        <v>45693</v>
      </c>
      <c r="C446" t="s">
        <v>520</v>
      </c>
      <c r="D446" t="s">
        <v>531</v>
      </c>
      <c r="E446" t="s">
        <v>537</v>
      </c>
      <c r="F446">
        <v>24</v>
      </c>
      <c r="G446">
        <v>21</v>
      </c>
      <c r="H446">
        <v>64</v>
      </c>
      <c r="I446">
        <v>1344</v>
      </c>
      <c r="J446">
        <v>0.22</v>
      </c>
      <c r="K446">
        <v>295.68</v>
      </c>
      <c r="L446">
        <v>1639.68</v>
      </c>
      <c r="M446" t="s">
        <v>541</v>
      </c>
      <c r="N446" t="s">
        <v>547</v>
      </c>
    </row>
    <row r="447" spans="1:14" x14ac:dyDescent="0.3">
      <c r="A447" t="s">
        <v>459</v>
      </c>
      <c r="B447" s="3">
        <v>45596</v>
      </c>
      <c r="C447" t="s">
        <v>520</v>
      </c>
      <c r="D447" t="s">
        <v>529</v>
      </c>
      <c r="E447" t="s">
        <v>534</v>
      </c>
      <c r="F447">
        <v>50</v>
      </c>
      <c r="G447">
        <v>42</v>
      </c>
      <c r="H447">
        <v>120</v>
      </c>
      <c r="I447">
        <v>5040</v>
      </c>
      <c r="J447">
        <v>0</v>
      </c>
      <c r="K447">
        <v>0</v>
      </c>
      <c r="L447">
        <v>5040</v>
      </c>
      <c r="M447" t="s">
        <v>543</v>
      </c>
      <c r="N447" t="s">
        <v>544</v>
      </c>
    </row>
    <row r="448" spans="1:14" x14ac:dyDescent="0.3">
      <c r="A448" t="s">
        <v>460</v>
      </c>
      <c r="B448" s="3">
        <v>45536</v>
      </c>
      <c r="C448" t="s">
        <v>522</v>
      </c>
      <c r="D448" t="s">
        <v>527</v>
      </c>
      <c r="E448" t="s">
        <v>534</v>
      </c>
      <c r="F448">
        <v>26</v>
      </c>
      <c r="G448">
        <v>22</v>
      </c>
      <c r="H448">
        <v>208</v>
      </c>
      <c r="I448">
        <v>4576</v>
      </c>
      <c r="J448">
        <v>0.22</v>
      </c>
      <c r="K448">
        <v>1006.72</v>
      </c>
      <c r="L448">
        <v>5582.72</v>
      </c>
      <c r="M448" t="s">
        <v>542</v>
      </c>
      <c r="N448" t="s">
        <v>545</v>
      </c>
    </row>
    <row r="449" spans="1:14" x14ac:dyDescent="0.3">
      <c r="A449" t="s">
        <v>461</v>
      </c>
      <c r="B449" s="3">
        <v>45689</v>
      </c>
      <c r="C449" t="s">
        <v>515</v>
      </c>
      <c r="D449" t="s">
        <v>526</v>
      </c>
      <c r="E449" t="s">
        <v>534</v>
      </c>
      <c r="F449">
        <v>77</v>
      </c>
      <c r="G449">
        <v>70</v>
      </c>
      <c r="H449">
        <v>60</v>
      </c>
      <c r="I449">
        <v>4200</v>
      </c>
      <c r="J449">
        <v>0</v>
      </c>
      <c r="K449">
        <v>0</v>
      </c>
      <c r="L449">
        <v>4200</v>
      </c>
      <c r="M449" t="s">
        <v>541</v>
      </c>
      <c r="N449" t="s">
        <v>546</v>
      </c>
    </row>
    <row r="450" spans="1:14" x14ac:dyDescent="0.3">
      <c r="A450" t="s">
        <v>462</v>
      </c>
      <c r="B450" s="3">
        <v>45725</v>
      </c>
      <c r="C450" t="s">
        <v>521</v>
      </c>
      <c r="D450" t="s">
        <v>533</v>
      </c>
      <c r="E450" t="s">
        <v>536</v>
      </c>
      <c r="F450">
        <v>5</v>
      </c>
      <c r="G450">
        <v>5</v>
      </c>
      <c r="H450">
        <v>292</v>
      </c>
      <c r="I450">
        <v>1460</v>
      </c>
      <c r="J450">
        <v>0.22</v>
      </c>
      <c r="K450">
        <v>321.2</v>
      </c>
      <c r="L450">
        <v>1781.2</v>
      </c>
      <c r="M450" t="s">
        <v>541</v>
      </c>
      <c r="N450" t="s">
        <v>547</v>
      </c>
    </row>
    <row r="451" spans="1:14" x14ac:dyDescent="0.3">
      <c r="A451" t="s">
        <v>463</v>
      </c>
      <c r="B451" s="3">
        <v>45462</v>
      </c>
      <c r="C451" t="s">
        <v>517</v>
      </c>
      <c r="D451" t="s">
        <v>523</v>
      </c>
      <c r="E451" t="s">
        <v>534</v>
      </c>
      <c r="F451">
        <v>10</v>
      </c>
      <c r="G451">
        <v>12</v>
      </c>
      <c r="H451">
        <v>149</v>
      </c>
      <c r="I451">
        <v>1788</v>
      </c>
      <c r="J451">
        <v>0.22</v>
      </c>
      <c r="K451">
        <v>393.36</v>
      </c>
      <c r="L451">
        <v>2181.36</v>
      </c>
      <c r="M451" t="s">
        <v>543</v>
      </c>
      <c r="N451" t="s">
        <v>553</v>
      </c>
    </row>
    <row r="452" spans="1:14" x14ac:dyDescent="0.3">
      <c r="A452" t="s">
        <v>464</v>
      </c>
      <c r="B452" s="3">
        <v>45346</v>
      </c>
      <c r="C452" t="s">
        <v>518</v>
      </c>
      <c r="D452" t="s">
        <v>524</v>
      </c>
      <c r="E452" t="s">
        <v>540</v>
      </c>
      <c r="F452">
        <v>51</v>
      </c>
      <c r="G452">
        <v>46</v>
      </c>
      <c r="H452">
        <v>93</v>
      </c>
      <c r="I452">
        <v>4278</v>
      </c>
      <c r="J452">
        <v>0.22</v>
      </c>
      <c r="K452">
        <v>941.16</v>
      </c>
      <c r="L452">
        <v>5219.16</v>
      </c>
      <c r="M452" t="s">
        <v>543</v>
      </c>
      <c r="N452" t="s">
        <v>545</v>
      </c>
    </row>
    <row r="453" spans="1:14" x14ac:dyDescent="0.3">
      <c r="A453" t="s">
        <v>465</v>
      </c>
      <c r="B453" s="3">
        <v>45809</v>
      </c>
      <c r="C453" t="s">
        <v>517</v>
      </c>
      <c r="D453" t="s">
        <v>530</v>
      </c>
      <c r="E453" t="s">
        <v>536</v>
      </c>
      <c r="F453">
        <v>50</v>
      </c>
      <c r="G453">
        <v>49</v>
      </c>
      <c r="H453">
        <v>137</v>
      </c>
      <c r="I453">
        <v>6713</v>
      </c>
      <c r="J453">
        <v>0.22</v>
      </c>
      <c r="K453">
        <v>1476.86</v>
      </c>
      <c r="L453">
        <v>8189.86</v>
      </c>
      <c r="M453" t="s">
        <v>541</v>
      </c>
      <c r="N453" t="s">
        <v>552</v>
      </c>
    </row>
    <row r="454" spans="1:14" x14ac:dyDescent="0.3">
      <c r="A454" t="s">
        <v>466</v>
      </c>
      <c r="B454" s="3">
        <v>45792</v>
      </c>
      <c r="C454" t="s">
        <v>521</v>
      </c>
      <c r="D454" t="s">
        <v>527</v>
      </c>
      <c r="E454" t="s">
        <v>539</v>
      </c>
      <c r="F454">
        <v>44</v>
      </c>
      <c r="G454">
        <v>45</v>
      </c>
      <c r="H454">
        <v>214</v>
      </c>
      <c r="I454">
        <v>9630</v>
      </c>
      <c r="J454">
        <v>0.22</v>
      </c>
      <c r="K454">
        <v>2118.6</v>
      </c>
      <c r="L454">
        <v>11748.6</v>
      </c>
      <c r="M454" t="s">
        <v>542</v>
      </c>
      <c r="N454" t="s">
        <v>548</v>
      </c>
    </row>
    <row r="455" spans="1:14" x14ac:dyDescent="0.3">
      <c r="A455" t="s">
        <v>467</v>
      </c>
      <c r="B455" s="3">
        <v>45325</v>
      </c>
      <c r="C455" t="s">
        <v>522</v>
      </c>
      <c r="D455" t="s">
        <v>525</v>
      </c>
      <c r="E455" t="s">
        <v>539</v>
      </c>
      <c r="F455">
        <v>85</v>
      </c>
      <c r="G455">
        <v>73</v>
      </c>
      <c r="H455">
        <v>85</v>
      </c>
      <c r="I455">
        <v>6205</v>
      </c>
      <c r="J455">
        <v>0.22</v>
      </c>
      <c r="K455">
        <v>1365.1</v>
      </c>
      <c r="L455">
        <v>7570.1</v>
      </c>
      <c r="M455" t="s">
        <v>543</v>
      </c>
      <c r="N455" t="s">
        <v>553</v>
      </c>
    </row>
    <row r="456" spans="1:14" x14ac:dyDescent="0.3">
      <c r="A456" t="s">
        <v>468</v>
      </c>
      <c r="B456" s="3">
        <v>45799</v>
      </c>
      <c r="C456" t="s">
        <v>516</v>
      </c>
      <c r="D456" t="s">
        <v>528</v>
      </c>
      <c r="E456" t="s">
        <v>535</v>
      </c>
      <c r="F456">
        <v>40</v>
      </c>
      <c r="G456">
        <v>47</v>
      </c>
      <c r="H456">
        <v>180</v>
      </c>
      <c r="I456">
        <v>8460</v>
      </c>
      <c r="J456">
        <v>0.22</v>
      </c>
      <c r="K456">
        <v>1861.2</v>
      </c>
      <c r="L456">
        <v>10321.200000000001</v>
      </c>
      <c r="M456" t="s">
        <v>543</v>
      </c>
      <c r="N456" t="s">
        <v>545</v>
      </c>
    </row>
    <row r="457" spans="1:14" x14ac:dyDescent="0.3">
      <c r="A457" t="s">
        <v>469</v>
      </c>
      <c r="B457" s="3">
        <v>45667</v>
      </c>
      <c r="C457" t="s">
        <v>516</v>
      </c>
      <c r="D457" t="s">
        <v>524</v>
      </c>
      <c r="E457" t="s">
        <v>538</v>
      </c>
      <c r="F457">
        <v>56</v>
      </c>
      <c r="G457">
        <v>56</v>
      </c>
      <c r="H457">
        <v>153</v>
      </c>
      <c r="I457">
        <v>8568</v>
      </c>
      <c r="J457">
        <v>0.22</v>
      </c>
      <c r="K457">
        <v>1884.96</v>
      </c>
      <c r="L457">
        <v>10452.959999999999</v>
      </c>
      <c r="M457" t="s">
        <v>541</v>
      </c>
      <c r="N457" t="s">
        <v>549</v>
      </c>
    </row>
    <row r="458" spans="1:14" x14ac:dyDescent="0.3">
      <c r="A458" t="s">
        <v>470</v>
      </c>
      <c r="B458" s="3">
        <v>45727</v>
      </c>
      <c r="C458" t="s">
        <v>520</v>
      </c>
      <c r="D458" t="s">
        <v>529</v>
      </c>
      <c r="E458" t="s">
        <v>538</v>
      </c>
      <c r="F458">
        <v>51</v>
      </c>
      <c r="G458">
        <v>63</v>
      </c>
      <c r="H458">
        <v>107</v>
      </c>
      <c r="I458">
        <v>6741</v>
      </c>
      <c r="J458">
        <v>0</v>
      </c>
      <c r="K458">
        <v>0</v>
      </c>
      <c r="L458">
        <v>6741</v>
      </c>
      <c r="M458" t="s">
        <v>542</v>
      </c>
      <c r="N458" t="s">
        <v>548</v>
      </c>
    </row>
    <row r="459" spans="1:14" x14ac:dyDescent="0.3">
      <c r="A459" t="s">
        <v>471</v>
      </c>
      <c r="B459" s="3">
        <v>45325</v>
      </c>
      <c r="C459" t="s">
        <v>517</v>
      </c>
      <c r="D459" t="s">
        <v>523</v>
      </c>
      <c r="E459" t="s">
        <v>537</v>
      </c>
      <c r="F459">
        <v>60</v>
      </c>
      <c r="G459">
        <v>61</v>
      </c>
      <c r="H459">
        <v>140</v>
      </c>
      <c r="I459">
        <v>8540</v>
      </c>
      <c r="J459">
        <v>0.1</v>
      </c>
      <c r="K459">
        <v>854</v>
      </c>
      <c r="L459">
        <v>9394</v>
      </c>
      <c r="M459" t="s">
        <v>542</v>
      </c>
      <c r="N459" t="s">
        <v>552</v>
      </c>
    </row>
    <row r="460" spans="1:14" x14ac:dyDescent="0.3">
      <c r="A460" t="s">
        <v>472</v>
      </c>
      <c r="B460" s="3">
        <v>45412</v>
      </c>
      <c r="C460" t="s">
        <v>519</v>
      </c>
      <c r="D460" t="s">
        <v>525</v>
      </c>
      <c r="E460" t="s">
        <v>538</v>
      </c>
      <c r="F460">
        <v>21</v>
      </c>
      <c r="G460">
        <v>26</v>
      </c>
      <c r="H460">
        <v>95</v>
      </c>
      <c r="I460">
        <v>2470</v>
      </c>
      <c r="J460">
        <v>0.22</v>
      </c>
      <c r="K460">
        <v>543.4</v>
      </c>
      <c r="L460">
        <v>3013.4</v>
      </c>
      <c r="M460" t="s">
        <v>541</v>
      </c>
      <c r="N460" t="s">
        <v>551</v>
      </c>
    </row>
    <row r="461" spans="1:14" x14ac:dyDescent="0.3">
      <c r="A461" t="s">
        <v>473</v>
      </c>
      <c r="B461" s="3">
        <v>45730</v>
      </c>
      <c r="C461" t="s">
        <v>521</v>
      </c>
      <c r="D461" t="s">
        <v>526</v>
      </c>
      <c r="E461" t="s">
        <v>534</v>
      </c>
      <c r="F461">
        <v>1</v>
      </c>
      <c r="G461">
        <v>1</v>
      </c>
      <c r="H461">
        <v>67</v>
      </c>
      <c r="I461">
        <v>67</v>
      </c>
      <c r="J461">
        <v>0</v>
      </c>
      <c r="K461">
        <v>0</v>
      </c>
      <c r="L461">
        <v>67</v>
      </c>
      <c r="M461" t="s">
        <v>542</v>
      </c>
      <c r="N461" t="s">
        <v>549</v>
      </c>
    </row>
    <row r="462" spans="1:14" x14ac:dyDescent="0.3">
      <c r="A462" t="s">
        <v>474</v>
      </c>
      <c r="B462" s="3">
        <v>45352</v>
      </c>
      <c r="C462" t="s">
        <v>518</v>
      </c>
      <c r="D462" t="s">
        <v>528</v>
      </c>
      <c r="E462" t="s">
        <v>537</v>
      </c>
      <c r="F462">
        <v>44</v>
      </c>
      <c r="G462">
        <v>52</v>
      </c>
      <c r="H462">
        <v>266</v>
      </c>
      <c r="I462">
        <v>13832</v>
      </c>
      <c r="J462">
        <v>0.22</v>
      </c>
      <c r="K462">
        <v>3043.04</v>
      </c>
      <c r="L462">
        <v>16875.04</v>
      </c>
      <c r="M462" t="s">
        <v>542</v>
      </c>
      <c r="N462" t="s">
        <v>551</v>
      </c>
    </row>
    <row r="463" spans="1:14" x14ac:dyDescent="0.3">
      <c r="A463" t="s">
        <v>475</v>
      </c>
      <c r="B463" s="3">
        <v>45591</v>
      </c>
      <c r="C463" t="s">
        <v>522</v>
      </c>
      <c r="D463" t="s">
        <v>526</v>
      </c>
      <c r="E463" t="s">
        <v>537</v>
      </c>
      <c r="F463">
        <v>50</v>
      </c>
      <c r="G463">
        <v>47</v>
      </c>
      <c r="H463">
        <v>186</v>
      </c>
      <c r="I463">
        <v>8742</v>
      </c>
      <c r="J463">
        <v>0</v>
      </c>
      <c r="K463">
        <v>0</v>
      </c>
      <c r="L463">
        <v>8742</v>
      </c>
      <c r="M463" t="s">
        <v>541</v>
      </c>
      <c r="N463" t="s">
        <v>544</v>
      </c>
    </row>
    <row r="464" spans="1:14" x14ac:dyDescent="0.3">
      <c r="A464" t="s">
        <v>476</v>
      </c>
      <c r="B464" s="3">
        <v>45430</v>
      </c>
      <c r="C464" t="s">
        <v>515</v>
      </c>
      <c r="D464" t="s">
        <v>524</v>
      </c>
      <c r="E464" t="s">
        <v>537</v>
      </c>
      <c r="F464">
        <v>62</v>
      </c>
      <c r="G464">
        <v>56</v>
      </c>
      <c r="H464">
        <v>273</v>
      </c>
      <c r="I464">
        <v>15288</v>
      </c>
      <c r="J464">
        <v>0.1</v>
      </c>
      <c r="K464">
        <v>1528.8</v>
      </c>
      <c r="L464">
        <v>16816.8</v>
      </c>
      <c r="M464" t="s">
        <v>542</v>
      </c>
      <c r="N464" t="s">
        <v>547</v>
      </c>
    </row>
    <row r="465" spans="1:14" x14ac:dyDescent="0.3">
      <c r="A465" t="s">
        <v>477</v>
      </c>
      <c r="B465" s="3">
        <v>45547</v>
      </c>
      <c r="C465" t="s">
        <v>521</v>
      </c>
      <c r="D465" t="s">
        <v>531</v>
      </c>
      <c r="E465" t="s">
        <v>538</v>
      </c>
      <c r="F465">
        <v>14</v>
      </c>
      <c r="G465">
        <v>14</v>
      </c>
      <c r="H465">
        <v>277</v>
      </c>
      <c r="I465">
        <v>3878</v>
      </c>
      <c r="J465">
        <v>0.22</v>
      </c>
      <c r="K465">
        <v>853.16</v>
      </c>
      <c r="L465">
        <v>4731.16</v>
      </c>
      <c r="M465" t="s">
        <v>541</v>
      </c>
      <c r="N465" t="s">
        <v>546</v>
      </c>
    </row>
    <row r="466" spans="1:14" x14ac:dyDescent="0.3">
      <c r="A466" t="s">
        <v>478</v>
      </c>
      <c r="B466" s="3">
        <v>45793</v>
      </c>
      <c r="C466" t="s">
        <v>521</v>
      </c>
      <c r="D466" t="s">
        <v>526</v>
      </c>
      <c r="E466" t="s">
        <v>536</v>
      </c>
      <c r="F466">
        <v>33</v>
      </c>
      <c r="G466">
        <v>28</v>
      </c>
      <c r="H466">
        <v>274</v>
      </c>
      <c r="I466">
        <v>7672</v>
      </c>
      <c r="J466">
        <v>0</v>
      </c>
      <c r="K466">
        <v>0</v>
      </c>
      <c r="L466">
        <v>7672</v>
      </c>
      <c r="M466" t="s">
        <v>543</v>
      </c>
      <c r="N466" t="s">
        <v>546</v>
      </c>
    </row>
    <row r="467" spans="1:14" x14ac:dyDescent="0.3">
      <c r="A467" t="s">
        <v>479</v>
      </c>
      <c r="B467" s="3">
        <v>45676</v>
      </c>
      <c r="C467" t="s">
        <v>517</v>
      </c>
      <c r="D467" t="s">
        <v>527</v>
      </c>
      <c r="E467" t="s">
        <v>536</v>
      </c>
      <c r="F467">
        <v>74</v>
      </c>
      <c r="G467">
        <v>78</v>
      </c>
      <c r="H467">
        <v>275</v>
      </c>
      <c r="I467">
        <v>21450</v>
      </c>
      <c r="J467">
        <v>0.22</v>
      </c>
      <c r="K467">
        <v>4719</v>
      </c>
      <c r="L467">
        <v>26169</v>
      </c>
      <c r="M467" t="s">
        <v>542</v>
      </c>
      <c r="N467" t="s">
        <v>546</v>
      </c>
    </row>
    <row r="468" spans="1:14" x14ac:dyDescent="0.3">
      <c r="A468" t="s">
        <v>480</v>
      </c>
      <c r="B468" s="3">
        <v>45819</v>
      </c>
      <c r="C468" t="s">
        <v>522</v>
      </c>
      <c r="D468" t="s">
        <v>531</v>
      </c>
      <c r="E468" t="s">
        <v>540</v>
      </c>
      <c r="F468">
        <v>2</v>
      </c>
      <c r="G468">
        <v>2</v>
      </c>
      <c r="H468">
        <v>168</v>
      </c>
      <c r="I468">
        <v>336</v>
      </c>
      <c r="J468">
        <v>0.1</v>
      </c>
      <c r="K468">
        <v>33.6</v>
      </c>
      <c r="L468">
        <v>369.6</v>
      </c>
      <c r="M468" t="s">
        <v>543</v>
      </c>
      <c r="N468" t="s">
        <v>553</v>
      </c>
    </row>
    <row r="469" spans="1:14" x14ac:dyDescent="0.3">
      <c r="A469" t="s">
        <v>481</v>
      </c>
      <c r="B469" s="3">
        <v>45294</v>
      </c>
      <c r="C469" t="s">
        <v>520</v>
      </c>
      <c r="D469" t="s">
        <v>533</v>
      </c>
      <c r="E469" t="s">
        <v>536</v>
      </c>
      <c r="F469">
        <v>30</v>
      </c>
      <c r="G469">
        <v>26</v>
      </c>
      <c r="H469">
        <v>73</v>
      </c>
      <c r="I469">
        <v>1898</v>
      </c>
      <c r="J469">
        <v>0.22</v>
      </c>
      <c r="K469">
        <v>417.56</v>
      </c>
      <c r="L469">
        <v>2315.56</v>
      </c>
      <c r="M469" t="s">
        <v>543</v>
      </c>
      <c r="N469" t="s">
        <v>544</v>
      </c>
    </row>
    <row r="470" spans="1:14" x14ac:dyDescent="0.3">
      <c r="A470" t="s">
        <v>482</v>
      </c>
      <c r="B470" s="3">
        <v>45699</v>
      </c>
      <c r="C470" t="s">
        <v>519</v>
      </c>
      <c r="D470" t="s">
        <v>530</v>
      </c>
      <c r="E470" t="s">
        <v>538</v>
      </c>
      <c r="F470">
        <v>52</v>
      </c>
      <c r="G470">
        <v>59</v>
      </c>
      <c r="H470">
        <v>115</v>
      </c>
      <c r="I470">
        <v>6785</v>
      </c>
      <c r="J470">
        <v>0.22</v>
      </c>
      <c r="K470">
        <v>1492.7</v>
      </c>
      <c r="L470">
        <v>8277.7000000000007</v>
      </c>
      <c r="M470" t="s">
        <v>543</v>
      </c>
      <c r="N470" t="s">
        <v>551</v>
      </c>
    </row>
    <row r="471" spans="1:14" x14ac:dyDescent="0.3">
      <c r="A471" t="s">
        <v>483</v>
      </c>
      <c r="B471" s="3">
        <v>45582</v>
      </c>
      <c r="C471" t="s">
        <v>518</v>
      </c>
      <c r="D471" t="s">
        <v>528</v>
      </c>
      <c r="E471" t="s">
        <v>539</v>
      </c>
      <c r="F471">
        <v>8</v>
      </c>
      <c r="G471">
        <v>7</v>
      </c>
      <c r="H471">
        <v>62</v>
      </c>
      <c r="I471">
        <v>434</v>
      </c>
      <c r="J471">
        <v>0.22</v>
      </c>
      <c r="K471">
        <v>95.48</v>
      </c>
      <c r="L471">
        <v>529.48</v>
      </c>
      <c r="M471" t="s">
        <v>543</v>
      </c>
      <c r="N471" t="s">
        <v>551</v>
      </c>
    </row>
    <row r="472" spans="1:14" x14ac:dyDescent="0.3">
      <c r="A472" t="s">
        <v>484</v>
      </c>
      <c r="B472" s="3">
        <v>45341</v>
      </c>
      <c r="C472" t="s">
        <v>514</v>
      </c>
      <c r="D472" t="s">
        <v>527</v>
      </c>
      <c r="E472" t="s">
        <v>536</v>
      </c>
      <c r="F472">
        <v>19</v>
      </c>
      <c r="G472">
        <v>23</v>
      </c>
      <c r="H472">
        <v>297</v>
      </c>
      <c r="I472">
        <v>6831</v>
      </c>
      <c r="J472">
        <v>0.22</v>
      </c>
      <c r="K472">
        <v>1502.82</v>
      </c>
      <c r="L472">
        <v>8333.82</v>
      </c>
      <c r="M472" t="s">
        <v>543</v>
      </c>
      <c r="N472" t="s">
        <v>550</v>
      </c>
    </row>
    <row r="473" spans="1:14" x14ac:dyDescent="0.3">
      <c r="A473" t="s">
        <v>485</v>
      </c>
      <c r="B473" s="3">
        <v>45419</v>
      </c>
      <c r="C473" t="s">
        <v>521</v>
      </c>
      <c r="D473" t="s">
        <v>533</v>
      </c>
      <c r="E473" t="s">
        <v>540</v>
      </c>
      <c r="F473">
        <v>21</v>
      </c>
      <c r="G473">
        <v>18</v>
      </c>
      <c r="H473">
        <v>97</v>
      </c>
      <c r="I473">
        <v>1746</v>
      </c>
      <c r="J473">
        <v>0.22</v>
      </c>
      <c r="K473">
        <v>384.12</v>
      </c>
      <c r="L473">
        <v>2130.12</v>
      </c>
      <c r="M473" t="s">
        <v>543</v>
      </c>
      <c r="N473" t="s">
        <v>549</v>
      </c>
    </row>
    <row r="474" spans="1:14" x14ac:dyDescent="0.3">
      <c r="A474" t="s">
        <v>486</v>
      </c>
      <c r="B474" s="3">
        <v>45427</v>
      </c>
      <c r="C474" t="s">
        <v>522</v>
      </c>
      <c r="D474" t="s">
        <v>532</v>
      </c>
      <c r="E474" t="s">
        <v>538</v>
      </c>
      <c r="F474">
        <v>12</v>
      </c>
      <c r="G474">
        <v>15</v>
      </c>
      <c r="H474">
        <v>251</v>
      </c>
      <c r="I474">
        <v>3765</v>
      </c>
      <c r="J474">
        <v>0.1</v>
      </c>
      <c r="K474">
        <v>376.5</v>
      </c>
      <c r="L474">
        <v>4141.5</v>
      </c>
      <c r="M474" t="s">
        <v>543</v>
      </c>
      <c r="N474" t="s">
        <v>544</v>
      </c>
    </row>
    <row r="475" spans="1:14" x14ac:dyDescent="0.3">
      <c r="A475" t="s">
        <v>487</v>
      </c>
      <c r="B475" s="3">
        <v>45661</v>
      </c>
      <c r="C475" t="s">
        <v>522</v>
      </c>
      <c r="D475" t="s">
        <v>527</v>
      </c>
      <c r="E475" t="s">
        <v>537</v>
      </c>
      <c r="F475">
        <v>32</v>
      </c>
      <c r="G475">
        <v>28</v>
      </c>
      <c r="H475">
        <v>261</v>
      </c>
      <c r="I475">
        <v>7308</v>
      </c>
      <c r="J475">
        <v>0.22</v>
      </c>
      <c r="K475">
        <v>1607.76</v>
      </c>
      <c r="L475">
        <v>8915.76</v>
      </c>
      <c r="M475" t="s">
        <v>541</v>
      </c>
      <c r="N475" t="s">
        <v>547</v>
      </c>
    </row>
    <row r="476" spans="1:14" x14ac:dyDescent="0.3">
      <c r="A476" t="s">
        <v>488</v>
      </c>
      <c r="B476" s="3">
        <v>45345</v>
      </c>
      <c r="C476" t="s">
        <v>515</v>
      </c>
      <c r="D476" t="s">
        <v>529</v>
      </c>
      <c r="E476" t="s">
        <v>537</v>
      </c>
      <c r="F476">
        <v>39</v>
      </c>
      <c r="G476">
        <v>39</v>
      </c>
      <c r="H476">
        <v>244</v>
      </c>
      <c r="I476">
        <v>9516</v>
      </c>
      <c r="J476">
        <v>0</v>
      </c>
      <c r="K476">
        <v>0</v>
      </c>
      <c r="L476">
        <v>9516</v>
      </c>
      <c r="M476" t="s">
        <v>541</v>
      </c>
      <c r="N476" t="s">
        <v>549</v>
      </c>
    </row>
    <row r="477" spans="1:14" x14ac:dyDescent="0.3">
      <c r="A477" t="s">
        <v>489</v>
      </c>
      <c r="B477" s="3">
        <v>45731</v>
      </c>
      <c r="C477" t="s">
        <v>520</v>
      </c>
      <c r="D477" t="s">
        <v>527</v>
      </c>
      <c r="E477" t="s">
        <v>535</v>
      </c>
      <c r="F477">
        <v>20</v>
      </c>
      <c r="G477">
        <v>17</v>
      </c>
      <c r="H477">
        <v>290</v>
      </c>
      <c r="I477">
        <v>4930</v>
      </c>
      <c r="J477">
        <v>0.22</v>
      </c>
      <c r="K477">
        <v>1084.5999999999999</v>
      </c>
      <c r="L477">
        <v>6014.6</v>
      </c>
      <c r="M477" t="s">
        <v>542</v>
      </c>
      <c r="N477" t="s">
        <v>547</v>
      </c>
    </row>
    <row r="478" spans="1:14" x14ac:dyDescent="0.3">
      <c r="A478" t="s">
        <v>490</v>
      </c>
      <c r="B478" s="3">
        <v>45523</v>
      </c>
      <c r="C478" t="s">
        <v>516</v>
      </c>
      <c r="D478" t="s">
        <v>529</v>
      </c>
      <c r="E478" t="s">
        <v>540</v>
      </c>
      <c r="F478">
        <v>36</v>
      </c>
      <c r="G478">
        <v>44</v>
      </c>
      <c r="H478">
        <v>84</v>
      </c>
      <c r="I478">
        <v>3696</v>
      </c>
      <c r="J478">
        <v>0</v>
      </c>
      <c r="K478">
        <v>0</v>
      </c>
      <c r="L478">
        <v>3696</v>
      </c>
      <c r="M478" t="s">
        <v>542</v>
      </c>
      <c r="N478" t="s">
        <v>550</v>
      </c>
    </row>
    <row r="479" spans="1:14" x14ac:dyDescent="0.3">
      <c r="A479" t="s">
        <v>491</v>
      </c>
      <c r="B479" s="3">
        <v>45643</v>
      </c>
      <c r="C479" t="s">
        <v>520</v>
      </c>
      <c r="D479" t="s">
        <v>530</v>
      </c>
      <c r="E479" t="s">
        <v>536</v>
      </c>
      <c r="F479">
        <v>17</v>
      </c>
      <c r="G479">
        <v>17</v>
      </c>
      <c r="H479">
        <v>72</v>
      </c>
      <c r="I479">
        <v>1224</v>
      </c>
      <c r="J479">
        <v>0.22</v>
      </c>
      <c r="K479">
        <v>269.27999999999997</v>
      </c>
      <c r="L479">
        <v>1493.28</v>
      </c>
      <c r="M479" t="s">
        <v>542</v>
      </c>
      <c r="N479" t="s">
        <v>549</v>
      </c>
    </row>
    <row r="480" spans="1:14" x14ac:dyDescent="0.3">
      <c r="A480" t="s">
        <v>492</v>
      </c>
      <c r="B480" s="3">
        <v>45684</v>
      </c>
      <c r="C480" t="s">
        <v>520</v>
      </c>
      <c r="D480" t="s">
        <v>527</v>
      </c>
      <c r="E480" t="s">
        <v>535</v>
      </c>
      <c r="F480">
        <v>30</v>
      </c>
      <c r="G480">
        <v>25</v>
      </c>
      <c r="H480">
        <v>127</v>
      </c>
      <c r="I480">
        <v>3175</v>
      </c>
      <c r="J480">
        <v>0.22</v>
      </c>
      <c r="K480">
        <v>698.5</v>
      </c>
      <c r="L480">
        <v>3873.5</v>
      </c>
      <c r="M480" t="s">
        <v>543</v>
      </c>
      <c r="N480" t="s">
        <v>547</v>
      </c>
    </row>
    <row r="481" spans="1:14" x14ac:dyDescent="0.3">
      <c r="A481" t="s">
        <v>493</v>
      </c>
      <c r="B481" s="3">
        <v>45683</v>
      </c>
      <c r="C481" t="s">
        <v>521</v>
      </c>
      <c r="D481" t="s">
        <v>529</v>
      </c>
      <c r="E481" t="s">
        <v>536</v>
      </c>
      <c r="F481">
        <v>10</v>
      </c>
      <c r="G481">
        <v>10</v>
      </c>
      <c r="H481">
        <v>126</v>
      </c>
      <c r="I481">
        <v>1260</v>
      </c>
      <c r="J481">
        <v>0</v>
      </c>
      <c r="K481">
        <v>0</v>
      </c>
      <c r="L481">
        <v>1260</v>
      </c>
      <c r="M481" t="s">
        <v>542</v>
      </c>
      <c r="N481" t="s">
        <v>544</v>
      </c>
    </row>
    <row r="482" spans="1:14" x14ac:dyDescent="0.3">
      <c r="A482" t="s">
        <v>494</v>
      </c>
      <c r="B482" s="3">
        <v>45835</v>
      </c>
      <c r="C482" t="s">
        <v>514</v>
      </c>
      <c r="D482" t="s">
        <v>526</v>
      </c>
      <c r="E482" t="s">
        <v>536</v>
      </c>
      <c r="F482">
        <v>19</v>
      </c>
      <c r="G482">
        <v>18</v>
      </c>
      <c r="H482">
        <v>170</v>
      </c>
      <c r="I482">
        <v>3060</v>
      </c>
      <c r="J482">
        <v>0</v>
      </c>
      <c r="K482">
        <v>0</v>
      </c>
      <c r="L482">
        <v>3060</v>
      </c>
      <c r="M482" t="s">
        <v>542</v>
      </c>
      <c r="N482" t="s">
        <v>552</v>
      </c>
    </row>
    <row r="483" spans="1:14" x14ac:dyDescent="0.3">
      <c r="A483" t="s">
        <v>495</v>
      </c>
      <c r="B483" s="3">
        <v>45651</v>
      </c>
      <c r="C483" t="s">
        <v>519</v>
      </c>
      <c r="D483" t="s">
        <v>529</v>
      </c>
      <c r="E483" t="s">
        <v>536</v>
      </c>
      <c r="F483">
        <v>37</v>
      </c>
      <c r="G483">
        <v>34</v>
      </c>
      <c r="H483">
        <v>170</v>
      </c>
      <c r="I483">
        <v>5780</v>
      </c>
      <c r="J483">
        <v>0</v>
      </c>
      <c r="K483">
        <v>0</v>
      </c>
      <c r="L483">
        <v>5780</v>
      </c>
      <c r="M483" t="s">
        <v>542</v>
      </c>
      <c r="N483" t="s">
        <v>546</v>
      </c>
    </row>
    <row r="484" spans="1:14" x14ac:dyDescent="0.3">
      <c r="A484" t="s">
        <v>496</v>
      </c>
      <c r="B484" s="3">
        <v>45745</v>
      </c>
      <c r="C484" t="s">
        <v>519</v>
      </c>
      <c r="D484" t="s">
        <v>527</v>
      </c>
      <c r="E484" t="s">
        <v>535</v>
      </c>
      <c r="F484">
        <v>8</v>
      </c>
      <c r="G484">
        <v>8</v>
      </c>
      <c r="H484">
        <v>227</v>
      </c>
      <c r="I484">
        <v>1816</v>
      </c>
      <c r="J484">
        <v>0.22</v>
      </c>
      <c r="K484">
        <v>399.52</v>
      </c>
      <c r="L484">
        <v>2215.52</v>
      </c>
      <c r="M484" t="s">
        <v>542</v>
      </c>
      <c r="N484" t="s">
        <v>553</v>
      </c>
    </row>
    <row r="485" spans="1:14" x14ac:dyDescent="0.3">
      <c r="A485" t="s">
        <v>497</v>
      </c>
      <c r="B485" s="3">
        <v>45685</v>
      </c>
      <c r="C485" t="s">
        <v>518</v>
      </c>
      <c r="D485" t="s">
        <v>530</v>
      </c>
      <c r="E485" t="s">
        <v>537</v>
      </c>
      <c r="F485">
        <v>44</v>
      </c>
      <c r="G485">
        <v>42</v>
      </c>
      <c r="H485">
        <v>228</v>
      </c>
      <c r="I485">
        <v>9576</v>
      </c>
      <c r="J485">
        <v>0.22</v>
      </c>
      <c r="K485">
        <v>2106.7199999999998</v>
      </c>
      <c r="L485">
        <v>11682.72</v>
      </c>
      <c r="M485" t="s">
        <v>542</v>
      </c>
      <c r="N485" t="s">
        <v>548</v>
      </c>
    </row>
    <row r="486" spans="1:14" x14ac:dyDescent="0.3">
      <c r="A486" t="s">
        <v>498</v>
      </c>
      <c r="B486" s="3">
        <v>45378</v>
      </c>
      <c r="C486" t="s">
        <v>519</v>
      </c>
      <c r="D486" t="s">
        <v>528</v>
      </c>
      <c r="E486" t="s">
        <v>539</v>
      </c>
      <c r="F486">
        <v>6</v>
      </c>
      <c r="G486">
        <v>6</v>
      </c>
      <c r="H486">
        <v>239</v>
      </c>
      <c r="I486">
        <v>1434</v>
      </c>
      <c r="J486">
        <v>0.22</v>
      </c>
      <c r="K486">
        <v>315.48</v>
      </c>
      <c r="L486">
        <v>1749.48</v>
      </c>
      <c r="M486" t="s">
        <v>541</v>
      </c>
      <c r="N486" t="s">
        <v>548</v>
      </c>
    </row>
    <row r="487" spans="1:14" x14ac:dyDescent="0.3">
      <c r="A487" t="s">
        <v>499</v>
      </c>
      <c r="B487" s="3">
        <v>45319</v>
      </c>
      <c r="C487" t="s">
        <v>522</v>
      </c>
      <c r="D487" t="s">
        <v>525</v>
      </c>
      <c r="E487" t="s">
        <v>539</v>
      </c>
      <c r="F487">
        <v>30</v>
      </c>
      <c r="G487">
        <v>26</v>
      </c>
      <c r="H487">
        <v>123</v>
      </c>
      <c r="I487">
        <v>3198</v>
      </c>
      <c r="J487">
        <v>0.22</v>
      </c>
      <c r="K487">
        <v>703.56</v>
      </c>
      <c r="L487">
        <v>3901.56</v>
      </c>
      <c r="M487" t="s">
        <v>542</v>
      </c>
      <c r="N487" t="s">
        <v>546</v>
      </c>
    </row>
    <row r="488" spans="1:14" x14ac:dyDescent="0.3">
      <c r="A488" t="s">
        <v>500</v>
      </c>
      <c r="B488" s="3">
        <v>45594</v>
      </c>
      <c r="C488" t="s">
        <v>514</v>
      </c>
      <c r="D488" t="s">
        <v>525</v>
      </c>
      <c r="E488" t="s">
        <v>540</v>
      </c>
      <c r="F488">
        <v>48</v>
      </c>
      <c r="G488">
        <v>59</v>
      </c>
      <c r="H488">
        <v>243</v>
      </c>
      <c r="I488">
        <v>14337</v>
      </c>
      <c r="J488">
        <v>0.22</v>
      </c>
      <c r="K488">
        <v>3154.14</v>
      </c>
      <c r="L488">
        <v>17491.14</v>
      </c>
      <c r="M488" t="s">
        <v>542</v>
      </c>
      <c r="N488" t="s">
        <v>552</v>
      </c>
    </row>
    <row r="489" spans="1:14" x14ac:dyDescent="0.3">
      <c r="A489" t="s">
        <v>501</v>
      </c>
      <c r="B489" s="3">
        <v>45364</v>
      </c>
      <c r="C489" t="s">
        <v>516</v>
      </c>
      <c r="D489" t="s">
        <v>524</v>
      </c>
      <c r="E489" t="s">
        <v>537</v>
      </c>
      <c r="F489">
        <v>54</v>
      </c>
      <c r="G489">
        <v>59</v>
      </c>
      <c r="H489">
        <v>168</v>
      </c>
      <c r="I489">
        <v>9912</v>
      </c>
      <c r="J489">
        <v>0.1</v>
      </c>
      <c r="K489">
        <v>991.2</v>
      </c>
      <c r="L489">
        <v>10903.2</v>
      </c>
      <c r="M489" t="s">
        <v>542</v>
      </c>
      <c r="N489" t="s">
        <v>546</v>
      </c>
    </row>
    <row r="490" spans="1:14" x14ac:dyDescent="0.3">
      <c r="A490" t="s">
        <v>502</v>
      </c>
      <c r="B490" s="3">
        <v>45722</v>
      </c>
      <c r="C490" t="s">
        <v>518</v>
      </c>
      <c r="D490" t="s">
        <v>528</v>
      </c>
      <c r="E490" t="s">
        <v>536</v>
      </c>
      <c r="F490">
        <v>83</v>
      </c>
      <c r="G490">
        <v>70</v>
      </c>
      <c r="H490">
        <v>288</v>
      </c>
      <c r="I490">
        <v>20160</v>
      </c>
      <c r="J490">
        <v>0.22</v>
      </c>
      <c r="K490">
        <v>4435.2</v>
      </c>
      <c r="L490">
        <v>24595.200000000001</v>
      </c>
      <c r="M490" t="s">
        <v>543</v>
      </c>
      <c r="N490" t="s">
        <v>544</v>
      </c>
    </row>
    <row r="491" spans="1:14" x14ac:dyDescent="0.3">
      <c r="A491" t="s">
        <v>503</v>
      </c>
      <c r="B491" s="3">
        <v>45309</v>
      </c>
      <c r="C491" t="s">
        <v>520</v>
      </c>
      <c r="D491" t="s">
        <v>524</v>
      </c>
      <c r="E491" t="s">
        <v>537</v>
      </c>
      <c r="F491">
        <v>38</v>
      </c>
      <c r="G491">
        <v>33</v>
      </c>
      <c r="H491">
        <v>240</v>
      </c>
      <c r="I491">
        <v>7920</v>
      </c>
      <c r="J491">
        <v>0.22</v>
      </c>
      <c r="K491">
        <v>1742.4</v>
      </c>
      <c r="L491">
        <v>9662.4</v>
      </c>
      <c r="M491" t="s">
        <v>542</v>
      </c>
      <c r="N491" t="s">
        <v>546</v>
      </c>
    </row>
    <row r="492" spans="1:14" x14ac:dyDescent="0.3">
      <c r="A492" t="s">
        <v>504</v>
      </c>
      <c r="B492" s="3">
        <v>45810</v>
      </c>
      <c r="C492" t="s">
        <v>522</v>
      </c>
      <c r="D492" t="s">
        <v>529</v>
      </c>
      <c r="E492" t="s">
        <v>536</v>
      </c>
      <c r="F492">
        <v>22</v>
      </c>
      <c r="G492">
        <v>22</v>
      </c>
      <c r="H492">
        <v>80</v>
      </c>
      <c r="I492">
        <v>1760</v>
      </c>
      <c r="J492">
        <v>0</v>
      </c>
      <c r="K492">
        <v>0</v>
      </c>
      <c r="L492">
        <v>1760</v>
      </c>
      <c r="M492" t="s">
        <v>541</v>
      </c>
      <c r="N492" t="s">
        <v>546</v>
      </c>
    </row>
    <row r="493" spans="1:14" x14ac:dyDescent="0.3">
      <c r="A493" t="s">
        <v>505</v>
      </c>
      <c r="B493" s="3">
        <v>45725</v>
      </c>
      <c r="C493" t="s">
        <v>515</v>
      </c>
      <c r="D493" t="s">
        <v>527</v>
      </c>
      <c r="E493" t="s">
        <v>536</v>
      </c>
      <c r="F493">
        <v>73</v>
      </c>
      <c r="G493">
        <v>70</v>
      </c>
      <c r="H493">
        <v>129</v>
      </c>
      <c r="I493">
        <v>9030</v>
      </c>
      <c r="J493">
        <v>0.22</v>
      </c>
      <c r="K493">
        <v>1986.6</v>
      </c>
      <c r="L493">
        <v>11016.6</v>
      </c>
      <c r="M493" t="s">
        <v>541</v>
      </c>
      <c r="N493" t="s">
        <v>547</v>
      </c>
    </row>
    <row r="494" spans="1:14" x14ac:dyDescent="0.3">
      <c r="A494" t="s">
        <v>506</v>
      </c>
      <c r="B494" s="3">
        <v>45576</v>
      </c>
      <c r="C494" t="s">
        <v>520</v>
      </c>
      <c r="D494" t="s">
        <v>523</v>
      </c>
      <c r="E494" t="s">
        <v>535</v>
      </c>
      <c r="F494">
        <v>4</v>
      </c>
      <c r="G494">
        <v>4</v>
      </c>
      <c r="H494">
        <v>153</v>
      </c>
      <c r="I494">
        <v>612</v>
      </c>
      <c r="J494">
        <v>0.22</v>
      </c>
      <c r="K494">
        <v>134.63999999999999</v>
      </c>
      <c r="L494">
        <v>746.64</v>
      </c>
      <c r="M494" t="s">
        <v>542</v>
      </c>
      <c r="N494" t="s">
        <v>547</v>
      </c>
    </row>
    <row r="495" spans="1:14" x14ac:dyDescent="0.3">
      <c r="A495" t="s">
        <v>507</v>
      </c>
      <c r="B495" s="3">
        <v>45626</v>
      </c>
      <c r="C495" t="s">
        <v>515</v>
      </c>
      <c r="D495" t="s">
        <v>526</v>
      </c>
      <c r="E495" t="s">
        <v>536</v>
      </c>
      <c r="F495">
        <v>66</v>
      </c>
      <c r="G495">
        <v>75</v>
      </c>
      <c r="H495">
        <v>249</v>
      </c>
      <c r="I495">
        <v>18675</v>
      </c>
      <c r="J495">
        <v>0</v>
      </c>
      <c r="K495">
        <v>0</v>
      </c>
      <c r="L495">
        <v>18675</v>
      </c>
      <c r="M495" t="s">
        <v>541</v>
      </c>
      <c r="N495" t="s">
        <v>544</v>
      </c>
    </row>
    <row r="496" spans="1:14" x14ac:dyDescent="0.3">
      <c r="A496" t="s">
        <v>508</v>
      </c>
      <c r="B496" s="3">
        <v>45609</v>
      </c>
      <c r="C496" t="s">
        <v>515</v>
      </c>
      <c r="D496" t="s">
        <v>525</v>
      </c>
      <c r="E496" t="s">
        <v>535</v>
      </c>
      <c r="F496">
        <v>61</v>
      </c>
      <c r="G496">
        <v>62</v>
      </c>
      <c r="H496">
        <v>153</v>
      </c>
      <c r="I496">
        <v>9486</v>
      </c>
      <c r="J496">
        <v>0.22</v>
      </c>
      <c r="K496">
        <v>2086.92</v>
      </c>
      <c r="L496">
        <v>11572.92</v>
      </c>
      <c r="M496" t="s">
        <v>543</v>
      </c>
      <c r="N496" t="s">
        <v>544</v>
      </c>
    </row>
    <row r="497" spans="1:14" x14ac:dyDescent="0.3">
      <c r="A497" t="s">
        <v>509</v>
      </c>
      <c r="B497" s="3">
        <v>45756</v>
      </c>
      <c r="C497" t="s">
        <v>514</v>
      </c>
      <c r="D497" t="s">
        <v>523</v>
      </c>
      <c r="E497" t="s">
        <v>536</v>
      </c>
      <c r="F497">
        <v>23</v>
      </c>
      <c r="G497">
        <v>24</v>
      </c>
      <c r="H497">
        <v>114</v>
      </c>
      <c r="I497">
        <v>2736</v>
      </c>
      <c r="J497">
        <v>0.22</v>
      </c>
      <c r="K497">
        <v>601.91999999999996</v>
      </c>
      <c r="L497">
        <v>3337.92</v>
      </c>
      <c r="M497" t="s">
        <v>541</v>
      </c>
      <c r="N497" t="s">
        <v>547</v>
      </c>
    </row>
    <row r="498" spans="1:14" x14ac:dyDescent="0.3">
      <c r="A498" t="s">
        <v>510</v>
      </c>
      <c r="B498" s="3">
        <v>45414</v>
      </c>
      <c r="C498" t="s">
        <v>514</v>
      </c>
      <c r="D498" t="s">
        <v>532</v>
      </c>
      <c r="E498" t="s">
        <v>536</v>
      </c>
      <c r="F498">
        <v>9</v>
      </c>
      <c r="G498">
        <v>9</v>
      </c>
      <c r="H498">
        <v>190</v>
      </c>
      <c r="I498">
        <v>1710</v>
      </c>
      <c r="J498">
        <v>0.22</v>
      </c>
      <c r="K498">
        <v>376.2</v>
      </c>
      <c r="L498">
        <v>2086.1999999999998</v>
      </c>
      <c r="M498" t="s">
        <v>543</v>
      </c>
      <c r="N498" t="s">
        <v>551</v>
      </c>
    </row>
    <row r="499" spans="1:14" x14ac:dyDescent="0.3">
      <c r="A499" t="s">
        <v>511</v>
      </c>
      <c r="B499" s="3">
        <v>45827</v>
      </c>
      <c r="C499" t="s">
        <v>516</v>
      </c>
      <c r="D499" t="s">
        <v>523</v>
      </c>
      <c r="E499" t="s">
        <v>534</v>
      </c>
      <c r="F499">
        <v>26</v>
      </c>
      <c r="G499">
        <v>31</v>
      </c>
      <c r="H499">
        <v>99</v>
      </c>
      <c r="I499">
        <v>3069</v>
      </c>
      <c r="J499">
        <v>0.22</v>
      </c>
      <c r="K499">
        <v>675.18</v>
      </c>
      <c r="L499">
        <v>3744.18</v>
      </c>
      <c r="M499" t="s">
        <v>541</v>
      </c>
      <c r="N499" t="s">
        <v>548</v>
      </c>
    </row>
    <row r="500" spans="1:14" x14ac:dyDescent="0.3">
      <c r="A500" t="s">
        <v>512</v>
      </c>
      <c r="B500" s="3">
        <v>45412</v>
      </c>
      <c r="C500" t="s">
        <v>514</v>
      </c>
      <c r="D500" t="s">
        <v>531</v>
      </c>
      <c r="E500" t="s">
        <v>538</v>
      </c>
      <c r="F500">
        <v>43</v>
      </c>
      <c r="G500">
        <v>36</v>
      </c>
      <c r="H500">
        <v>211</v>
      </c>
      <c r="I500">
        <v>7596</v>
      </c>
      <c r="J500">
        <v>0.22</v>
      </c>
      <c r="K500">
        <v>1671.12</v>
      </c>
      <c r="L500">
        <v>9267.119999999999</v>
      </c>
      <c r="M500" t="s">
        <v>541</v>
      </c>
      <c r="N500" t="s">
        <v>544</v>
      </c>
    </row>
    <row r="501" spans="1:14" x14ac:dyDescent="0.3">
      <c r="A501" t="s">
        <v>513</v>
      </c>
      <c r="B501" s="3">
        <v>45561</v>
      </c>
      <c r="C501" t="s">
        <v>520</v>
      </c>
      <c r="D501" t="s">
        <v>533</v>
      </c>
      <c r="E501" t="s">
        <v>540</v>
      </c>
      <c r="F501">
        <v>7</v>
      </c>
      <c r="G501">
        <v>6</v>
      </c>
      <c r="H501">
        <v>125</v>
      </c>
      <c r="I501">
        <v>750</v>
      </c>
      <c r="J501">
        <v>0.22</v>
      </c>
      <c r="K501">
        <v>165</v>
      </c>
      <c r="L501">
        <v>915</v>
      </c>
      <c r="M501" t="s">
        <v>542</v>
      </c>
      <c r="N501" t="s">
        <v>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C8D1-C63F-4A56-A77A-F84C4926E3B7}">
  <dimension ref="A1:N501"/>
  <sheetViews>
    <sheetView zoomScale="75" zoomScaleNormal="130" workbookViewId="0">
      <selection activeCell="R8" sqref="R8"/>
    </sheetView>
  </sheetViews>
  <sheetFormatPr defaultRowHeight="14.4" x14ac:dyDescent="0.3"/>
  <cols>
    <col min="1" max="1" width="12.21875" bestFit="1" customWidth="1"/>
    <col min="2" max="2" width="11.6640625" style="3" bestFit="1" customWidth="1"/>
    <col min="3" max="3" width="24.5546875" bestFit="1" customWidth="1"/>
    <col min="4" max="4" width="15.5546875" bestFit="1" customWidth="1"/>
    <col min="5" max="5" width="18.5546875" bestFit="1" customWidth="1"/>
    <col min="6" max="6" width="16.6640625" bestFit="1" customWidth="1"/>
    <col min="7" max="7" width="13.33203125" bestFit="1" customWidth="1"/>
    <col min="8" max="8" width="11.6640625" bestFit="1" customWidth="1"/>
    <col min="9" max="9" width="10.6640625" bestFit="1" customWidth="1"/>
    <col min="10" max="10" width="11.77734375" bestFit="1" customWidth="1"/>
    <col min="11" max="11" width="9" bestFit="1" customWidth="1"/>
    <col min="12" max="12" width="10.109375" bestFit="1" customWidth="1"/>
    <col min="13" max="13" width="15.5546875" bestFit="1" customWidth="1"/>
    <col min="14" max="14" width="11.21875" bestFit="1" customWidth="1"/>
  </cols>
  <sheetData>
    <row r="1" spans="1:1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3">
        <v>45406</v>
      </c>
      <c r="C2" t="s">
        <v>514</v>
      </c>
      <c r="D2" t="s">
        <v>523</v>
      </c>
      <c r="E2" t="s">
        <v>534</v>
      </c>
      <c r="F2">
        <v>49</v>
      </c>
      <c r="G2">
        <v>52</v>
      </c>
      <c r="H2">
        <v>152</v>
      </c>
      <c r="I2">
        <v>7904</v>
      </c>
      <c r="J2">
        <v>0.22</v>
      </c>
      <c r="K2">
        <v>1738.88</v>
      </c>
      <c r="L2">
        <v>9642.880000000001</v>
      </c>
      <c r="M2" t="s">
        <v>541</v>
      </c>
      <c r="N2" t="s">
        <v>544</v>
      </c>
    </row>
    <row r="3" spans="1:14" x14ac:dyDescent="0.3">
      <c r="A3" t="s">
        <v>15</v>
      </c>
      <c r="B3" s="3">
        <v>45381</v>
      </c>
      <c r="C3" t="s">
        <v>515</v>
      </c>
      <c r="D3" t="s">
        <v>524</v>
      </c>
      <c r="E3" t="s">
        <v>535</v>
      </c>
      <c r="F3">
        <v>18</v>
      </c>
      <c r="G3">
        <v>15</v>
      </c>
      <c r="H3">
        <v>166</v>
      </c>
      <c r="I3">
        <v>2490</v>
      </c>
      <c r="J3">
        <v>0.22</v>
      </c>
      <c r="K3">
        <v>547.79999999999995</v>
      </c>
      <c r="L3">
        <v>3037.8</v>
      </c>
      <c r="M3" t="s">
        <v>542</v>
      </c>
      <c r="N3" t="s">
        <v>545</v>
      </c>
    </row>
    <row r="4" spans="1:14" x14ac:dyDescent="0.3">
      <c r="A4" t="s">
        <v>16</v>
      </c>
      <c r="B4" s="3">
        <v>45319</v>
      </c>
      <c r="C4" t="s">
        <v>516</v>
      </c>
      <c r="D4" t="s">
        <v>525</v>
      </c>
      <c r="E4" t="s">
        <v>536</v>
      </c>
      <c r="F4">
        <v>79</v>
      </c>
      <c r="G4">
        <v>72</v>
      </c>
      <c r="H4">
        <v>248</v>
      </c>
      <c r="I4">
        <v>17856</v>
      </c>
      <c r="J4">
        <v>0.22</v>
      </c>
      <c r="K4">
        <v>3928.32</v>
      </c>
      <c r="L4">
        <v>21784.32</v>
      </c>
      <c r="M4" t="s">
        <v>541</v>
      </c>
      <c r="N4" t="s">
        <v>546</v>
      </c>
    </row>
    <row r="5" spans="1:14" x14ac:dyDescent="0.3">
      <c r="A5" t="s">
        <v>17</v>
      </c>
      <c r="B5" s="3">
        <v>45517</v>
      </c>
      <c r="C5" t="s">
        <v>517</v>
      </c>
      <c r="D5" t="s">
        <v>526</v>
      </c>
      <c r="E5" t="s">
        <v>537</v>
      </c>
      <c r="F5">
        <v>22</v>
      </c>
      <c r="G5">
        <v>21</v>
      </c>
      <c r="H5">
        <v>162</v>
      </c>
      <c r="I5">
        <v>3402</v>
      </c>
      <c r="J5">
        <v>0</v>
      </c>
      <c r="K5">
        <v>0</v>
      </c>
      <c r="L5">
        <v>3402</v>
      </c>
      <c r="M5" t="s">
        <v>542</v>
      </c>
      <c r="N5" t="s">
        <v>547</v>
      </c>
    </row>
    <row r="6" spans="1:14" x14ac:dyDescent="0.3">
      <c r="A6" t="s">
        <v>18</v>
      </c>
      <c r="B6" s="3">
        <v>45724</v>
      </c>
      <c r="C6" t="s">
        <v>518</v>
      </c>
      <c r="D6" t="s">
        <v>523</v>
      </c>
      <c r="E6" t="s">
        <v>534</v>
      </c>
      <c r="F6">
        <v>65</v>
      </c>
      <c r="G6">
        <v>75</v>
      </c>
      <c r="H6">
        <v>262</v>
      </c>
      <c r="I6">
        <v>19650</v>
      </c>
      <c r="J6">
        <v>0.22</v>
      </c>
      <c r="K6">
        <v>4323</v>
      </c>
      <c r="L6">
        <v>23973</v>
      </c>
      <c r="M6" t="s">
        <v>543</v>
      </c>
      <c r="N6" t="s">
        <v>544</v>
      </c>
    </row>
    <row r="7" spans="1:14" x14ac:dyDescent="0.3">
      <c r="A7" t="s">
        <v>19</v>
      </c>
      <c r="B7" s="3">
        <v>45386</v>
      </c>
      <c r="C7" t="s">
        <v>515</v>
      </c>
      <c r="D7" t="s">
        <v>527</v>
      </c>
      <c r="E7" t="s">
        <v>537</v>
      </c>
      <c r="F7">
        <v>21</v>
      </c>
      <c r="G7">
        <v>24</v>
      </c>
      <c r="H7">
        <v>190</v>
      </c>
      <c r="I7">
        <v>4560</v>
      </c>
      <c r="J7">
        <v>0.22</v>
      </c>
      <c r="K7">
        <v>1003.2</v>
      </c>
      <c r="L7">
        <v>5563.2</v>
      </c>
      <c r="M7" t="s">
        <v>541</v>
      </c>
      <c r="N7" t="s">
        <v>548</v>
      </c>
    </row>
    <row r="8" spans="1:14" x14ac:dyDescent="0.3">
      <c r="A8" t="s">
        <v>20</v>
      </c>
      <c r="B8" s="3">
        <v>45336</v>
      </c>
      <c r="C8" t="s">
        <v>517</v>
      </c>
      <c r="D8" t="s">
        <v>528</v>
      </c>
      <c r="E8" t="s">
        <v>535</v>
      </c>
      <c r="F8">
        <v>18</v>
      </c>
      <c r="G8">
        <v>22</v>
      </c>
      <c r="H8">
        <v>112</v>
      </c>
      <c r="I8">
        <v>2464</v>
      </c>
      <c r="J8">
        <v>0.1</v>
      </c>
      <c r="K8">
        <v>246.4</v>
      </c>
      <c r="L8">
        <v>2710.4</v>
      </c>
      <c r="M8" t="s">
        <v>543</v>
      </c>
      <c r="N8" t="s">
        <v>544</v>
      </c>
    </row>
    <row r="9" spans="1:14" x14ac:dyDescent="0.3">
      <c r="A9" t="s">
        <v>21</v>
      </c>
      <c r="B9" s="3">
        <v>45592</v>
      </c>
      <c r="C9" t="s">
        <v>518</v>
      </c>
      <c r="D9" t="s">
        <v>526</v>
      </c>
      <c r="E9" t="s">
        <v>534</v>
      </c>
      <c r="F9">
        <v>2</v>
      </c>
      <c r="G9">
        <v>2</v>
      </c>
      <c r="H9">
        <v>147</v>
      </c>
      <c r="I9">
        <v>294</v>
      </c>
      <c r="J9">
        <v>0</v>
      </c>
      <c r="K9">
        <v>0</v>
      </c>
      <c r="L9">
        <v>294</v>
      </c>
      <c r="M9" t="s">
        <v>541</v>
      </c>
      <c r="N9" t="s">
        <v>544</v>
      </c>
    </row>
    <row r="10" spans="1:14" x14ac:dyDescent="0.3">
      <c r="A10" t="s">
        <v>22</v>
      </c>
      <c r="B10" s="3">
        <v>45338</v>
      </c>
      <c r="C10" t="s">
        <v>519</v>
      </c>
      <c r="D10" t="s">
        <v>523</v>
      </c>
      <c r="E10" t="s">
        <v>535</v>
      </c>
      <c r="F10">
        <v>31</v>
      </c>
      <c r="G10">
        <v>30</v>
      </c>
      <c r="H10">
        <v>97</v>
      </c>
      <c r="I10">
        <v>2910</v>
      </c>
      <c r="J10">
        <v>0.1</v>
      </c>
      <c r="K10">
        <v>291</v>
      </c>
      <c r="L10">
        <v>3201</v>
      </c>
      <c r="M10" t="s">
        <v>542</v>
      </c>
      <c r="N10" t="s">
        <v>546</v>
      </c>
    </row>
    <row r="11" spans="1:14" x14ac:dyDescent="0.3">
      <c r="A11" t="s">
        <v>23</v>
      </c>
      <c r="B11" s="3">
        <v>45576</v>
      </c>
      <c r="C11" t="s">
        <v>517</v>
      </c>
      <c r="D11" t="s">
        <v>529</v>
      </c>
      <c r="E11" t="s">
        <v>538</v>
      </c>
      <c r="F11">
        <v>2</v>
      </c>
      <c r="G11">
        <v>2</v>
      </c>
      <c r="H11">
        <v>251</v>
      </c>
      <c r="I11">
        <v>502</v>
      </c>
      <c r="J11">
        <v>0</v>
      </c>
      <c r="K11">
        <v>0</v>
      </c>
      <c r="L11">
        <v>502</v>
      </c>
      <c r="M11" t="s">
        <v>543</v>
      </c>
      <c r="N11" t="s">
        <v>547</v>
      </c>
    </row>
    <row r="12" spans="1:14" x14ac:dyDescent="0.3">
      <c r="A12" t="s">
        <v>24</v>
      </c>
      <c r="B12" s="3">
        <v>45671</v>
      </c>
      <c r="C12" t="s">
        <v>518</v>
      </c>
      <c r="D12" t="s">
        <v>525</v>
      </c>
      <c r="E12" t="s">
        <v>536</v>
      </c>
      <c r="F12">
        <v>48</v>
      </c>
      <c r="G12">
        <v>60</v>
      </c>
      <c r="H12">
        <v>80</v>
      </c>
      <c r="I12">
        <v>4800</v>
      </c>
      <c r="J12">
        <v>0.22</v>
      </c>
      <c r="K12">
        <v>1056</v>
      </c>
      <c r="L12">
        <v>5856</v>
      </c>
      <c r="M12" t="s">
        <v>541</v>
      </c>
      <c r="N12" t="s">
        <v>544</v>
      </c>
    </row>
    <row r="13" spans="1:14" x14ac:dyDescent="0.3">
      <c r="A13" t="s">
        <v>25</v>
      </c>
      <c r="B13" s="3">
        <v>45467</v>
      </c>
      <c r="C13" t="s">
        <v>516</v>
      </c>
      <c r="D13" t="s">
        <v>525</v>
      </c>
      <c r="E13" t="s">
        <v>534</v>
      </c>
      <c r="F13">
        <v>39</v>
      </c>
      <c r="G13">
        <v>33</v>
      </c>
      <c r="H13">
        <v>263</v>
      </c>
      <c r="I13">
        <v>8679</v>
      </c>
      <c r="J13">
        <v>0.22</v>
      </c>
      <c r="K13">
        <v>1909.38</v>
      </c>
      <c r="L13">
        <v>10588.38</v>
      </c>
      <c r="M13" t="s">
        <v>543</v>
      </c>
      <c r="N13" t="s">
        <v>545</v>
      </c>
    </row>
    <row r="14" spans="1:14" x14ac:dyDescent="0.3">
      <c r="A14" t="s">
        <v>26</v>
      </c>
      <c r="B14" s="3">
        <v>45516</v>
      </c>
      <c r="C14" t="s">
        <v>518</v>
      </c>
      <c r="D14" t="s">
        <v>524</v>
      </c>
      <c r="E14" t="s">
        <v>534</v>
      </c>
      <c r="F14">
        <v>66</v>
      </c>
      <c r="G14">
        <v>58</v>
      </c>
      <c r="H14">
        <v>81</v>
      </c>
      <c r="I14">
        <v>4698</v>
      </c>
      <c r="J14">
        <v>0.22</v>
      </c>
      <c r="K14">
        <v>1033.56</v>
      </c>
      <c r="L14">
        <v>5731.5599999999986</v>
      </c>
      <c r="M14" t="s">
        <v>543</v>
      </c>
      <c r="N14" t="s">
        <v>546</v>
      </c>
    </row>
    <row r="15" spans="1:14" x14ac:dyDescent="0.3">
      <c r="A15" t="s">
        <v>27</v>
      </c>
      <c r="B15" s="3">
        <v>45566</v>
      </c>
      <c r="C15" t="s">
        <v>520</v>
      </c>
      <c r="D15" t="s">
        <v>525</v>
      </c>
      <c r="E15" t="s">
        <v>539</v>
      </c>
      <c r="F15">
        <v>43</v>
      </c>
      <c r="G15">
        <v>49</v>
      </c>
      <c r="H15">
        <v>278</v>
      </c>
      <c r="I15">
        <v>13622</v>
      </c>
      <c r="J15">
        <v>0.1</v>
      </c>
      <c r="K15">
        <v>1362.2</v>
      </c>
      <c r="L15">
        <v>14984.2</v>
      </c>
      <c r="M15" t="s">
        <v>543</v>
      </c>
      <c r="N15" t="s">
        <v>549</v>
      </c>
    </row>
    <row r="16" spans="1:14" x14ac:dyDescent="0.3">
      <c r="A16" t="s">
        <v>28</v>
      </c>
      <c r="B16" s="3">
        <v>45803</v>
      </c>
      <c r="C16" t="s">
        <v>515</v>
      </c>
      <c r="D16" t="s">
        <v>529</v>
      </c>
      <c r="E16" t="s">
        <v>540</v>
      </c>
      <c r="F16">
        <v>51</v>
      </c>
      <c r="G16">
        <v>59</v>
      </c>
      <c r="H16">
        <v>229</v>
      </c>
      <c r="I16">
        <v>13511</v>
      </c>
      <c r="J16">
        <v>0</v>
      </c>
      <c r="K16">
        <v>0</v>
      </c>
      <c r="L16">
        <v>13511</v>
      </c>
      <c r="M16" t="s">
        <v>542</v>
      </c>
      <c r="N16" t="s">
        <v>548</v>
      </c>
    </row>
    <row r="17" spans="1:14" x14ac:dyDescent="0.3">
      <c r="A17" t="s">
        <v>29</v>
      </c>
      <c r="B17" s="3">
        <v>45434</v>
      </c>
      <c r="C17" t="s">
        <v>519</v>
      </c>
      <c r="D17" t="s">
        <v>528</v>
      </c>
      <c r="E17" t="s">
        <v>539</v>
      </c>
      <c r="F17">
        <v>52</v>
      </c>
      <c r="G17">
        <v>60</v>
      </c>
      <c r="H17">
        <v>267</v>
      </c>
      <c r="I17">
        <v>16020</v>
      </c>
      <c r="J17">
        <v>0.22</v>
      </c>
      <c r="K17">
        <v>3524.4</v>
      </c>
      <c r="L17">
        <v>19544.400000000001</v>
      </c>
      <c r="M17" t="s">
        <v>541</v>
      </c>
      <c r="N17" t="s">
        <v>546</v>
      </c>
    </row>
    <row r="18" spans="1:14" x14ac:dyDescent="0.3">
      <c r="A18" t="s">
        <v>30</v>
      </c>
      <c r="B18" s="3">
        <v>45700</v>
      </c>
      <c r="C18" t="s">
        <v>518</v>
      </c>
      <c r="D18" t="s">
        <v>525</v>
      </c>
      <c r="E18" t="s">
        <v>534</v>
      </c>
      <c r="F18">
        <v>14</v>
      </c>
      <c r="G18">
        <v>15</v>
      </c>
      <c r="H18">
        <v>249</v>
      </c>
      <c r="I18">
        <v>3735</v>
      </c>
      <c r="J18">
        <v>0.22</v>
      </c>
      <c r="K18">
        <v>821.7</v>
      </c>
      <c r="L18">
        <v>4556.7</v>
      </c>
      <c r="M18" t="s">
        <v>542</v>
      </c>
      <c r="N18" t="s">
        <v>550</v>
      </c>
    </row>
    <row r="19" spans="1:14" x14ac:dyDescent="0.3">
      <c r="A19" t="s">
        <v>31</v>
      </c>
      <c r="B19" s="3">
        <v>45404</v>
      </c>
      <c r="C19" t="s">
        <v>521</v>
      </c>
      <c r="D19" t="s">
        <v>529</v>
      </c>
      <c r="E19" t="s">
        <v>534</v>
      </c>
      <c r="F19">
        <v>63</v>
      </c>
      <c r="G19">
        <v>62</v>
      </c>
      <c r="H19">
        <v>234</v>
      </c>
      <c r="I19">
        <v>14508</v>
      </c>
      <c r="J19">
        <v>0</v>
      </c>
      <c r="K19">
        <v>0</v>
      </c>
      <c r="L19">
        <v>14508</v>
      </c>
      <c r="M19" t="s">
        <v>541</v>
      </c>
      <c r="N19" t="s">
        <v>546</v>
      </c>
    </row>
    <row r="20" spans="1:14" x14ac:dyDescent="0.3">
      <c r="A20" t="s">
        <v>32</v>
      </c>
      <c r="B20" s="3">
        <v>45357</v>
      </c>
      <c r="C20" t="s">
        <v>515</v>
      </c>
      <c r="D20" t="s">
        <v>530</v>
      </c>
      <c r="E20" t="s">
        <v>539</v>
      </c>
      <c r="F20">
        <v>60</v>
      </c>
      <c r="G20">
        <v>62</v>
      </c>
      <c r="H20">
        <v>110</v>
      </c>
      <c r="I20">
        <v>6820</v>
      </c>
      <c r="J20">
        <v>0.1</v>
      </c>
      <c r="K20">
        <v>682</v>
      </c>
      <c r="L20">
        <v>7502</v>
      </c>
      <c r="M20" t="s">
        <v>541</v>
      </c>
      <c r="N20" t="s">
        <v>548</v>
      </c>
    </row>
    <row r="21" spans="1:14" x14ac:dyDescent="0.3">
      <c r="A21" t="s">
        <v>33</v>
      </c>
      <c r="B21" s="3">
        <v>45303</v>
      </c>
      <c r="C21" t="s">
        <v>520</v>
      </c>
      <c r="D21" t="s">
        <v>529</v>
      </c>
      <c r="E21" t="s">
        <v>539</v>
      </c>
      <c r="F21">
        <v>50</v>
      </c>
      <c r="G21">
        <v>55</v>
      </c>
      <c r="H21">
        <v>123</v>
      </c>
      <c r="I21">
        <v>6765</v>
      </c>
      <c r="J21">
        <v>0</v>
      </c>
      <c r="K21">
        <v>0</v>
      </c>
      <c r="L21">
        <v>6765</v>
      </c>
      <c r="M21" t="s">
        <v>543</v>
      </c>
      <c r="N21" t="s">
        <v>551</v>
      </c>
    </row>
    <row r="22" spans="1:14" x14ac:dyDescent="0.3">
      <c r="A22" t="s">
        <v>34</v>
      </c>
      <c r="B22" s="3">
        <v>45406</v>
      </c>
      <c r="C22" t="s">
        <v>522</v>
      </c>
      <c r="D22" t="s">
        <v>530</v>
      </c>
      <c r="E22" t="s">
        <v>534</v>
      </c>
      <c r="F22">
        <v>3</v>
      </c>
      <c r="G22">
        <v>3</v>
      </c>
      <c r="H22">
        <v>288</v>
      </c>
      <c r="I22">
        <v>864</v>
      </c>
      <c r="J22">
        <v>0.22</v>
      </c>
      <c r="K22">
        <v>190.08</v>
      </c>
      <c r="L22">
        <v>1054.08</v>
      </c>
      <c r="M22" t="s">
        <v>541</v>
      </c>
      <c r="N22" t="s">
        <v>548</v>
      </c>
    </row>
    <row r="23" spans="1:14" x14ac:dyDescent="0.3">
      <c r="A23" t="s">
        <v>35</v>
      </c>
      <c r="B23" s="3">
        <v>45804</v>
      </c>
      <c r="C23" t="s">
        <v>521</v>
      </c>
      <c r="D23" t="s">
        <v>528</v>
      </c>
      <c r="E23" t="s">
        <v>535</v>
      </c>
      <c r="F23">
        <v>44</v>
      </c>
      <c r="G23">
        <v>51</v>
      </c>
      <c r="H23">
        <v>194</v>
      </c>
      <c r="I23">
        <v>9894</v>
      </c>
      <c r="J23">
        <v>0.1</v>
      </c>
      <c r="K23">
        <v>989.4</v>
      </c>
      <c r="L23">
        <v>10883.4</v>
      </c>
      <c r="M23" t="s">
        <v>543</v>
      </c>
      <c r="N23" t="s">
        <v>545</v>
      </c>
    </row>
    <row r="24" spans="1:14" x14ac:dyDescent="0.3">
      <c r="A24" t="s">
        <v>36</v>
      </c>
      <c r="B24" s="3">
        <v>45495</v>
      </c>
      <c r="C24" t="s">
        <v>521</v>
      </c>
      <c r="D24" t="s">
        <v>531</v>
      </c>
      <c r="E24" t="s">
        <v>538</v>
      </c>
      <c r="F24">
        <v>19</v>
      </c>
      <c r="G24">
        <v>21</v>
      </c>
      <c r="H24">
        <v>132</v>
      </c>
      <c r="I24">
        <v>2772</v>
      </c>
      <c r="J24">
        <v>0.22</v>
      </c>
      <c r="K24">
        <v>609.84</v>
      </c>
      <c r="L24">
        <v>3381.84</v>
      </c>
      <c r="M24" t="s">
        <v>541</v>
      </c>
      <c r="N24" t="s">
        <v>550</v>
      </c>
    </row>
    <row r="25" spans="1:14" x14ac:dyDescent="0.3">
      <c r="A25" t="s">
        <v>37</v>
      </c>
      <c r="B25" s="3">
        <v>45623</v>
      </c>
      <c r="C25" t="s">
        <v>517</v>
      </c>
      <c r="D25" t="s">
        <v>524</v>
      </c>
      <c r="E25" t="s">
        <v>535</v>
      </c>
      <c r="F25">
        <v>37</v>
      </c>
      <c r="G25">
        <v>39</v>
      </c>
      <c r="H25">
        <v>77</v>
      </c>
      <c r="I25">
        <v>3003</v>
      </c>
      <c r="J25">
        <v>0.1</v>
      </c>
      <c r="K25">
        <v>300.3</v>
      </c>
      <c r="L25">
        <v>3303.3</v>
      </c>
      <c r="M25" t="s">
        <v>543</v>
      </c>
      <c r="N25" t="s">
        <v>549</v>
      </c>
    </row>
    <row r="26" spans="1:14" x14ac:dyDescent="0.3">
      <c r="A26" t="s">
        <v>38</v>
      </c>
      <c r="B26" s="3">
        <v>45351</v>
      </c>
      <c r="C26" t="s">
        <v>519</v>
      </c>
      <c r="D26" t="s">
        <v>526</v>
      </c>
      <c r="E26" t="s">
        <v>535</v>
      </c>
      <c r="F26">
        <v>4</v>
      </c>
      <c r="G26">
        <v>4</v>
      </c>
      <c r="H26">
        <v>148</v>
      </c>
      <c r="I26">
        <v>592</v>
      </c>
      <c r="J26">
        <v>0</v>
      </c>
      <c r="K26">
        <v>0</v>
      </c>
      <c r="L26">
        <v>592</v>
      </c>
      <c r="M26" t="s">
        <v>542</v>
      </c>
      <c r="N26" t="s">
        <v>552</v>
      </c>
    </row>
    <row r="27" spans="1:14" x14ac:dyDescent="0.3">
      <c r="A27" t="s">
        <v>39</v>
      </c>
      <c r="B27" s="3">
        <v>45362</v>
      </c>
      <c r="C27" t="s">
        <v>516</v>
      </c>
      <c r="D27" t="s">
        <v>532</v>
      </c>
      <c r="E27" t="s">
        <v>534</v>
      </c>
      <c r="F27">
        <v>67</v>
      </c>
      <c r="G27">
        <v>60</v>
      </c>
      <c r="H27">
        <v>73</v>
      </c>
      <c r="I27">
        <v>4380</v>
      </c>
      <c r="J27">
        <v>0.22</v>
      </c>
      <c r="K27">
        <v>963.6</v>
      </c>
      <c r="L27">
        <v>5343.6</v>
      </c>
      <c r="M27" t="s">
        <v>541</v>
      </c>
      <c r="N27" t="s">
        <v>547</v>
      </c>
    </row>
    <row r="28" spans="1:14" x14ac:dyDescent="0.3">
      <c r="A28" t="s">
        <v>40</v>
      </c>
      <c r="B28" s="3">
        <v>45563</v>
      </c>
      <c r="C28" t="s">
        <v>516</v>
      </c>
      <c r="D28" t="s">
        <v>526</v>
      </c>
      <c r="E28" t="s">
        <v>540</v>
      </c>
      <c r="F28">
        <v>8</v>
      </c>
      <c r="G28">
        <v>9</v>
      </c>
      <c r="H28">
        <v>149</v>
      </c>
      <c r="I28">
        <v>1341</v>
      </c>
      <c r="J28">
        <v>0</v>
      </c>
      <c r="K28">
        <v>0</v>
      </c>
      <c r="L28">
        <v>1341</v>
      </c>
      <c r="M28" t="s">
        <v>542</v>
      </c>
      <c r="N28" t="s">
        <v>545</v>
      </c>
    </row>
    <row r="29" spans="1:14" x14ac:dyDescent="0.3">
      <c r="A29" t="s">
        <v>41</v>
      </c>
      <c r="B29" s="3">
        <v>45497</v>
      </c>
      <c r="C29" t="s">
        <v>522</v>
      </c>
      <c r="D29" t="s">
        <v>530</v>
      </c>
      <c r="E29" t="s">
        <v>536</v>
      </c>
      <c r="F29">
        <v>53</v>
      </c>
      <c r="G29">
        <v>53</v>
      </c>
      <c r="H29">
        <v>189</v>
      </c>
      <c r="I29">
        <v>10017</v>
      </c>
      <c r="J29">
        <v>0.22</v>
      </c>
      <c r="K29">
        <v>2203.7399999999998</v>
      </c>
      <c r="L29">
        <v>12220.74</v>
      </c>
      <c r="M29" t="s">
        <v>543</v>
      </c>
      <c r="N29" t="s">
        <v>545</v>
      </c>
    </row>
    <row r="30" spans="1:14" x14ac:dyDescent="0.3">
      <c r="A30" t="s">
        <v>42</v>
      </c>
      <c r="B30" s="3">
        <v>45754</v>
      </c>
      <c r="C30" t="s">
        <v>520</v>
      </c>
      <c r="D30" t="s">
        <v>525</v>
      </c>
      <c r="E30" t="s">
        <v>534</v>
      </c>
      <c r="F30">
        <v>62</v>
      </c>
      <c r="G30">
        <v>60</v>
      </c>
      <c r="H30">
        <v>258</v>
      </c>
      <c r="I30">
        <v>15480</v>
      </c>
      <c r="J30">
        <v>0.22</v>
      </c>
      <c r="K30">
        <v>3405.6</v>
      </c>
      <c r="L30">
        <v>18885.599999999999</v>
      </c>
      <c r="M30" t="s">
        <v>542</v>
      </c>
      <c r="N30" t="s">
        <v>553</v>
      </c>
    </row>
    <row r="31" spans="1:14" x14ac:dyDescent="0.3">
      <c r="A31" t="s">
        <v>43</v>
      </c>
      <c r="B31" s="3">
        <v>45527</v>
      </c>
      <c r="C31" t="s">
        <v>519</v>
      </c>
      <c r="D31" t="s">
        <v>524</v>
      </c>
      <c r="E31" t="s">
        <v>535</v>
      </c>
      <c r="F31">
        <v>36</v>
      </c>
      <c r="G31">
        <v>44</v>
      </c>
      <c r="H31">
        <v>67</v>
      </c>
      <c r="I31">
        <v>2948</v>
      </c>
      <c r="J31">
        <v>0.22</v>
      </c>
      <c r="K31">
        <v>648.55999999999995</v>
      </c>
      <c r="L31">
        <v>3596.56</v>
      </c>
      <c r="M31" t="s">
        <v>542</v>
      </c>
      <c r="N31" t="s">
        <v>549</v>
      </c>
    </row>
    <row r="32" spans="1:14" x14ac:dyDescent="0.3">
      <c r="A32" t="s">
        <v>44</v>
      </c>
      <c r="B32" s="3">
        <v>45361</v>
      </c>
      <c r="C32" t="s">
        <v>514</v>
      </c>
      <c r="D32" t="s">
        <v>531</v>
      </c>
      <c r="E32" t="s">
        <v>535</v>
      </c>
      <c r="F32">
        <v>49</v>
      </c>
      <c r="G32">
        <v>47</v>
      </c>
      <c r="H32">
        <v>94</v>
      </c>
      <c r="I32">
        <v>4418</v>
      </c>
      <c r="J32">
        <v>0.22</v>
      </c>
      <c r="K32">
        <v>971.96</v>
      </c>
      <c r="L32">
        <v>5389.96</v>
      </c>
      <c r="M32" t="s">
        <v>543</v>
      </c>
      <c r="N32" t="s">
        <v>552</v>
      </c>
    </row>
    <row r="33" spans="1:14" x14ac:dyDescent="0.3">
      <c r="A33" t="s">
        <v>45</v>
      </c>
      <c r="B33" s="3">
        <v>45511</v>
      </c>
      <c r="C33" t="s">
        <v>516</v>
      </c>
      <c r="D33" t="s">
        <v>532</v>
      </c>
      <c r="E33" t="s">
        <v>536</v>
      </c>
      <c r="F33">
        <v>68</v>
      </c>
      <c r="G33">
        <v>78</v>
      </c>
      <c r="H33">
        <v>140</v>
      </c>
      <c r="I33">
        <v>10920</v>
      </c>
      <c r="J33">
        <v>0.1</v>
      </c>
      <c r="K33">
        <v>1092</v>
      </c>
      <c r="L33">
        <v>12012</v>
      </c>
      <c r="M33" t="s">
        <v>541</v>
      </c>
      <c r="N33" t="s">
        <v>553</v>
      </c>
    </row>
    <row r="34" spans="1:14" x14ac:dyDescent="0.3">
      <c r="A34" t="s">
        <v>46</v>
      </c>
      <c r="B34" s="3">
        <v>45776</v>
      </c>
      <c r="C34" t="s">
        <v>519</v>
      </c>
      <c r="D34" t="s">
        <v>533</v>
      </c>
      <c r="E34" t="s">
        <v>538</v>
      </c>
      <c r="F34">
        <v>30</v>
      </c>
      <c r="G34">
        <v>36</v>
      </c>
      <c r="H34">
        <v>109</v>
      </c>
      <c r="I34">
        <v>3924</v>
      </c>
      <c r="J34">
        <v>0.22</v>
      </c>
      <c r="K34">
        <v>863.28</v>
      </c>
      <c r="L34">
        <v>4787.28</v>
      </c>
      <c r="M34" t="s">
        <v>542</v>
      </c>
      <c r="N34" t="s">
        <v>544</v>
      </c>
    </row>
    <row r="35" spans="1:14" x14ac:dyDescent="0.3">
      <c r="A35" t="s">
        <v>47</v>
      </c>
      <c r="B35" s="3">
        <v>45733</v>
      </c>
      <c r="C35" t="s">
        <v>518</v>
      </c>
      <c r="D35" t="s">
        <v>530</v>
      </c>
      <c r="E35" t="s">
        <v>540</v>
      </c>
      <c r="F35">
        <v>5</v>
      </c>
      <c r="G35">
        <v>4</v>
      </c>
      <c r="H35">
        <v>61</v>
      </c>
      <c r="I35">
        <v>244</v>
      </c>
      <c r="J35">
        <v>0.22</v>
      </c>
      <c r="K35">
        <v>53.68</v>
      </c>
      <c r="L35">
        <v>297.68</v>
      </c>
      <c r="M35" t="s">
        <v>541</v>
      </c>
      <c r="N35" t="s">
        <v>550</v>
      </c>
    </row>
    <row r="36" spans="1:14" x14ac:dyDescent="0.3">
      <c r="A36" t="s">
        <v>48</v>
      </c>
      <c r="B36" s="3">
        <v>45392</v>
      </c>
      <c r="C36" t="s">
        <v>514</v>
      </c>
      <c r="D36" t="s">
        <v>530</v>
      </c>
      <c r="E36" t="s">
        <v>536</v>
      </c>
      <c r="F36">
        <v>7</v>
      </c>
      <c r="G36">
        <v>6</v>
      </c>
      <c r="H36">
        <v>113</v>
      </c>
      <c r="I36">
        <v>678</v>
      </c>
      <c r="J36">
        <v>0.22</v>
      </c>
      <c r="K36">
        <v>149.16</v>
      </c>
      <c r="L36">
        <v>827.16</v>
      </c>
      <c r="M36" t="s">
        <v>542</v>
      </c>
      <c r="N36" t="s">
        <v>549</v>
      </c>
    </row>
    <row r="37" spans="1:14" x14ac:dyDescent="0.3">
      <c r="A37" t="s">
        <v>49</v>
      </c>
      <c r="B37" s="3">
        <v>45488</v>
      </c>
      <c r="C37" t="s">
        <v>519</v>
      </c>
      <c r="D37" t="s">
        <v>528</v>
      </c>
      <c r="E37" t="s">
        <v>540</v>
      </c>
      <c r="F37">
        <v>4</v>
      </c>
      <c r="G37">
        <v>4</v>
      </c>
      <c r="H37">
        <v>113</v>
      </c>
      <c r="I37">
        <v>452</v>
      </c>
      <c r="J37">
        <v>0.22</v>
      </c>
      <c r="K37">
        <v>99.44</v>
      </c>
      <c r="L37">
        <v>551.44000000000005</v>
      </c>
      <c r="M37" t="s">
        <v>542</v>
      </c>
      <c r="N37" t="s">
        <v>548</v>
      </c>
    </row>
    <row r="38" spans="1:14" x14ac:dyDescent="0.3">
      <c r="A38" t="s">
        <v>50</v>
      </c>
      <c r="B38" s="3">
        <v>45765</v>
      </c>
      <c r="C38" t="s">
        <v>519</v>
      </c>
      <c r="D38" t="s">
        <v>527</v>
      </c>
      <c r="E38" t="s">
        <v>540</v>
      </c>
      <c r="F38">
        <v>58</v>
      </c>
      <c r="G38">
        <v>63</v>
      </c>
      <c r="H38">
        <v>205</v>
      </c>
      <c r="I38">
        <v>12915</v>
      </c>
      <c r="J38">
        <v>0.22</v>
      </c>
      <c r="K38">
        <v>2841.3</v>
      </c>
      <c r="L38">
        <v>15756.3</v>
      </c>
      <c r="M38" t="s">
        <v>541</v>
      </c>
      <c r="N38" t="s">
        <v>544</v>
      </c>
    </row>
    <row r="39" spans="1:14" x14ac:dyDescent="0.3">
      <c r="A39" t="s">
        <v>51</v>
      </c>
      <c r="B39" s="3">
        <v>45343</v>
      </c>
      <c r="C39" t="s">
        <v>516</v>
      </c>
      <c r="D39" t="s">
        <v>524</v>
      </c>
      <c r="E39" t="s">
        <v>535</v>
      </c>
      <c r="F39">
        <v>37</v>
      </c>
      <c r="G39">
        <v>44</v>
      </c>
      <c r="H39">
        <v>221</v>
      </c>
      <c r="I39">
        <v>9724</v>
      </c>
      <c r="J39">
        <v>0.1</v>
      </c>
      <c r="K39">
        <v>972.4</v>
      </c>
      <c r="L39">
        <v>10696.4</v>
      </c>
      <c r="M39" t="s">
        <v>542</v>
      </c>
      <c r="N39" t="s">
        <v>547</v>
      </c>
    </row>
    <row r="40" spans="1:14" x14ac:dyDescent="0.3">
      <c r="A40" t="s">
        <v>52</v>
      </c>
      <c r="B40" s="3">
        <v>45708</v>
      </c>
      <c r="C40" t="s">
        <v>517</v>
      </c>
      <c r="D40" t="s">
        <v>533</v>
      </c>
      <c r="E40" t="s">
        <v>534</v>
      </c>
      <c r="F40">
        <v>79</v>
      </c>
      <c r="G40">
        <v>74</v>
      </c>
      <c r="H40">
        <v>249</v>
      </c>
      <c r="I40">
        <v>18426</v>
      </c>
      <c r="J40">
        <v>0.1</v>
      </c>
      <c r="K40">
        <v>1842.6</v>
      </c>
      <c r="L40">
        <v>20268.599999999999</v>
      </c>
      <c r="M40" t="s">
        <v>542</v>
      </c>
      <c r="N40" t="s">
        <v>547</v>
      </c>
    </row>
    <row r="41" spans="1:14" x14ac:dyDescent="0.3">
      <c r="A41" t="s">
        <v>53</v>
      </c>
      <c r="B41" s="3">
        <v>45680</v>
      </c>
      <c r="C41" t="s">
        <v>514</v>
      </c>
      <c r="D41" t="s">
        <v>530</v>
      </c>
      <c r="E41" t="s">
        <v>537</v>
      </c>
      <c r="F41">
        <v>14</v>
      </c>
      <c r="G41">
        <v>14</v>
      </c>
      <c r="H41">
        <v>154</v>
      </c>
      <c r="I41">
        <v>2156</v>
      </c>
      <c r="J41">
        <v>0.1</v>
      </c>
      <c r="K41">
        <v>215.6</v>
      </c>
      <c r="L41">
        <v>2371.6</v>
      </c>
      <c r="M41" t="s">
        <v>543</v>
      </c>
      <c r="N41" t="s">
        <v>548</v>
      </c>
    </row>
    <row r="42" spans="1:14" x14ac:dyDescent="0.3">
      <c r="A42" t="s">
        <v>54</v>
      </c>
      <c r="B42" s="3">
        <v>45725</v>
      </c>
      <c r="C42" t="s">
        <v>516</v>
      </c>
      <c r="D42" t="s">
        <v>529</v>
      </c>
      <c r="E42" t="s">
        <v>536</v>
      </c>
      <c r="F42">
        <v>41</v>
      </c>
      <c r="G42">
        <v>48</v>
      </c>
      <c r="H42">
        <v>74</v>
      </c>
      <c r="I42">
        <v>3552</v>
      </c>
      <c r="J42">
        <v>0</v>
      </c>
      <c r="K42">
        <v>0</v>
      </c>
      <c r="L42">
        <v>3552</v>
      </c>
      <c r="M42" t="s">
        <v>543</v>
      </c>
      <c r="N42" t="s">
        <v>547</v>
      </c>
    </row>
    <row r="43" spans="1:14" x14ac:dyDescent="0.3">
      <c r="A43" t="s">
        <v>55</v>
      </c>
      <c r="B43" s="3">
        <v>45486</v>
      </c>
      <c r="C43" t="s">
        <v>522</v>
      </c>
      <c r="D43" t="s">
        <v>525</v>
      </c>
      <c r="E43" t="s">
        <v>535</v>
      </c>
      <c r="F43">
        <v>72</v>
      </c>
      <c r="G43">
        <v>72</v>
      </c>
      <c r="H43">
        <v>265</v>
      </c>
      <c r="I43">
        <v>19080</v>
      </c>
      <c r="J43">
        <v>0.22</v>
      </c>
      <c r="K43">
        <v>4197.6000000000004</v>
      </c>
      <c r="L43">
        <v>23277.599999999999</v>
      </c>
      <c r="M43" t="s">
        <v>541</v>
      </c>
      <c r="N43" t="s">
        <v>550</v>
      </c>
    </row>
    <row r="44" spans="1:14" x14ac:dyDescent="0.3">
      <c r="A44" t="s">
        <v>56</v>
      </c>
      <c r="B44" s="3">
        <v>45613</v>
      </c>
      <c r="C44" t="s">
        <v>514</v>
      </c>
      <c r="D44" t="s">
        <v>524</v>
      </c>
      <c r="E44" t="s">
        <v>539</v>
      </c>
      <c r="F44">
        <v>50</v>
      </c>
      <c r="G44">
        <v>62</v>
      </c>
      <c r="H44">
        <v>99</v>
      </c>
      <c r="I44">
        <v>6138</v>
      </c>
      <c r="J44">
        <v>0.22</v>
      </c>
      <c r="K44">
        <v>1350.36</v>
      </c>
      <c r="L44">
        <v>7488.36</v>
      </c>
      <c r="M44" t="s">
        <v>541</v>
      </c>
      <c r="N44" t="s">
        <v>547</v>
      </c>
    </row>
    <row r="45" spans="1:14" x14ac:dyDescent="0.3">
      <c r="A45" t="s">
        <v>57</v>
      </c>
      <c r="B45" s="3">
        <v>45350</v>
      </c>
      <c r="C45" t="s">
        <v>516</v>
      </c>
      <c r="D45" t="s">
        <v>527</v>
      </c>
      <c r="E45" t="s">
        <v>538</v>
      </c>
      <c r="F45">
        <v>93</v>
      </c>
      <c r="G45">
        <v>80</v>
      </c>
      <c r="H45">
        <v>296</v>
      </c>
      <c r="I45">
        <v>23680</v>
      </c>
      <c r="J45">
        <v>0.22</v>
      </c>
      <c r="K45">
        <v>5209.6000000000004</v>
      </c>
      <c r="L45">
        <v>28889.599999999999</v>
      </c>
      <c r="M45" t="s">
        <v>541</v>
      </c>
      <c r="N45" t="s">
        <v>544</v>
      </c>
    </row>
    <row r="46" spans="1:14" x14ac:dyDescent="0.3">
      <c r="A46" t="s">
        <v>58</v>
      </c>
      <c r="B46" s="3">
        <v>45532</v>
      </c>
      <c r="C46" t="s">
        <v>515</v>
      </c>
      <c r="D46" t="s">
        <v>527</v>
      </c>
      <c r="E46" t="s">
        <v>539</v>
      </c>
      <c r="F46">
        <v>48</v>
      </c>
      <c r="G46">
        <v>53</v>
      </c>
      <c r="H46">
        <v>83</v>
      </c>
      <c r="I46">
        <v>4399</v>
      </c>
      <c r="J46">
        <v>0.22</v>
      </c>
      <c r="K46">
        <v>967.78</v>
      </c>
      <c r="L46">
        <v>5366.78</v>
      </c>
      <c r="M46" t="s">
        <v>541</v>
      </c>
      <c r="N46" t="s">
        <v>550</v>
      </c>
    </row>
    <row r="47" spans="1:14" x14ac:dyDescent="0.3">
      <c r="A47" t="s">
        <v>59</v>
      </c>
      <c r="B47" s="3">
        <v>45375</v>
      </c>
      <c r="C47" t="s">
        <v>515</v>
      </c>
      <c r="D47" t="s">
        <v>529</v>
      </c>
      <c r="E47" t="s">
        <v>539</v>
      </c>
      <c r="F47">
        <v>28</v>
      </c>
      <c r="G47">
        <v>26</v>
      </c>
      <c r="H47">
        <v>276</v>
      </c>
      <c r="I47">
        <v>7176</v>
      </c>
      <c r="J47">
        <v>0</v>
      </c>
      <c r="K47">
        <v>0</v>
      </c>
      <c r="L47">
        <v>7176</v>
      </c>
      <c r="M47" t="s">
        <v>541</v>
      </c>
      <c r="N47" t="s">
        <v>545</v>
      </c>
    </row>
    <row r="48" spans="1:14" x14ac:dyDescent="0.3">
      <c r="A48" t="s">
        <v>60</v>
      </c>
      <c r="B48" s="3">
        <v>45615</v>
      </c>
      <c r="C48" t="s">
        <v>522</v>
      </c>
      <c r="D48" t="s">
        <v>525</v>
      </c>
      <c r="E48" t="s">
        <v>536</v>
      </c>
      <c r="F48">
        <v>55</v>
      </c>
      <c r="G48">
        <v>60</v>
      </c>
      <c r="H48">
        <v>183</v>
      </c>
      <c r="I48">
        <v>10980</v>
      </c>
      <c r="J48">
        <v>0.22</v>
      </c>
      <c r="K48">
        <v>2415.6</v>
      </c>
      <c r="L48">
        <v>13395.6</v>
      </c>
      <c r="M48" t="s">
        <v>542</v>
      </c>
      <c r="N48" t="s">
        <v>548</v>
      </c>
    </row>
    <row r="49" spans="1:14" x14ac:dyDescent="0.3">
      <c r="A49" t="s">
        <v>61</v>
      </c>
      <c r="B49" s="3">
        <v>45697</v>
      </c>
      <c r="C49" t="s">
        <v>521</v>
      </c>
      <c r="D49" t="s">
        <v>529</v>
      </c>
      <c r="E49" t="s">
        <v>536</v>
      </c>
      <c r="F49">
        <v>41</v>
      </c>
      <c r="G49">
        <v>41</v>
      </c>
      <c r="H49">
        <v>216</v>
      </c>
      <c r="I49">
        <v>8856</v>
      </c>
      <c r="J49">
        <v>0</v>
      </c>
      <c r="K49">
        <v>0</v>
      </c>
      <c r="L49">
        <v>8856</v>
      </c>
      <c r="M49" t="s">
        <v>543</v>
      </c>
      <c r="N49" t="s">
        <v>552</v>
      </c>
    </row>
    <row r="50" spans="1:14" x14ac:dyDescent="0.3">
      <c r="A50" t="s">
        <v>62</v>
      </c>
      <c r="B50" s="3">
        <v>45615</v>
      </c>
      <c r="C50" t="s">
        <v>520</v>
      </c>
      <c r="D50" t="s">
        <v>524</v>
      </c>
      <c r="E50" t="s">
        <v>540</v>
      </c>
      <c r="F50">
        <v>15</v>
      </c>
      <c r="G50">
        <v>15</v>
      </c>
      <c r="H50">
        <v>104</v>
      </c>
      <c r="I50">
        <v>1560</v>
      </c>
      <c r="J50">
        <v>0.22</v>
      </c>
      <c r="K50">
        <v>343.2</v>
      </c>
      <c r="L50">
        <v>1903.2</v>
      </c>
      <c r="M50" t="s">
        <v>541</v>
      </c>
      <c r="N50" t="s">
        <v>544</v>
      </c>
    </row>
    <row r="51" spans="1:14" x14ac:dyDescent="0.3">
      <c r="A51" t="s">
        <v>63</v>
      </c>
      <c r="B51" s="3">
        <v>45367</v>
      </c>
      <c r="C51" t="s">
        <v>516</v>
      </c>
      <c r="D51" t="s">
        <v>525</v>
      </c>
      <c r="E51" t="s">
        <v>539</v>
      </c>
      <c r="F51">
        <v>57</v>
      </c>
      <c r="G51">
        <v>65</v>
      </c>
      <c r="H51">
        <v>148</v>
      </c>
      <c r="I51">
        <v>9620</v>
      </c>
      <c r="J51">
        <v>0.22</v>
      </c>
      <c r="K51">
        <v>2116.4</v>
      </c>
      <c r="L51">
        <v>11736.4</v>
      </c>
      <c r="M51" t="s">
        <v>543</v>
      </c>
      <c r="N51" t="s">
        <v>544</v>
      </c>
    </row>
    <row r="52" spans="1:14" x14ac:dyDescent="0.3">
      <c r="A52" t="s">
        <v>64</v>
      </c>
      <c r="B52" s="3">
        <v>45542</v>
      </c>
      <c r="C52" t="s">
        <v>518</v>
      </c>
      <c r="D52" t="s">
        <v>523</v>
      </c>
      <c r="E52" t="s">
        <v>534</v>
      </c>
      <c r="F52">
        <v>84</v>
      </c>
      <c r="G52">
        <v>71</v>
      </c>
      <c r="H52">
        <v>68</v>
      </c>
      <c r="I52">
        <v>4828</v>
      </c>
      <c r="J52">
        <v>0.22</v>
      </c>
      <c r="K52">
        <v>1062.1600000000001</v>
      </c>
      <c r="L52">
        <v>5890.16</v>
      </c>
      <c r="M52" t="s">
        <v>541</v>
      </c>
      <c r="N52" t="s">
        <v>548</v>
      </c>
    </row>
    <row r="53" spans="1:14" x14ac:dyDescent="0.3">
      <c r="A53" t="s">
        <v>65</v>
      </c>
      <c r="B53" s="3">
        <v>45833</v>
      </c>
      <c r="C53" t="s">
        <v>514</v>
      </c>
      <c r="D53" t="s">
        <v>529</v>
      </c>
      <c r="E53" t="s">
        <v>538</v>
      </c>
      <c r="F53">
        <v>1</v>
      </c>
      <c r="G53">
        <v>1</v>
      </c>
      <c r="H53">
        <v>295</v>
      </c>
      <c r="I53">
        <v>295</v>
      </c>
      <c r="J53">
        <v>0</v>
      </c>
      <c r="K53">
        <v>0</v>
      </c>
      <c r="L53">
        <v>295</v>
      </c>
      <c r="M53" t="s">
        <v>541</v>
      </c>
      <c r="N53" t="s">
        <v>548</v>
      </c>
    </row>
    <row r="54" spans="1:14" x14ac:dyDescent="0.3">
      <c r="A54" t="s">
        <v>66</v>
      </c>
      <c r="B54" s="3">
        <v>45398</v>
      </c>
      <c r="C54" t="s">
        <v>521</v>
      </c>
      <c r="D54" t="s">
        <v>523</v>
      </c>
      <c r="E54" t="s">
        <v>535</v>
      </c>
      <c r="F54">
        <v>9</v>
      </c>
      <c r="G54">
        <v>8</v>
      </c>
      <c r="H54">
        <v>275</v>
      </c>
      <c r="I54">
        <v>2200</v>
      </c>
      <c r="J54">
        <v>0.1</v>
      </c>
      <c r="K54">
        <v>220</v>
      </c>
      <c r="L54">
        <v>2420</v>
      </c>
      <c r="M54" t="s">
        <v>541</v>
      </c>
      <c r="N54" t="s">
        <v>545</v>
      </c>
    </row>
    <row r="55" spans="1:14" x14ac:dyDescent="0.3">
      <c r="A55" t="s">
        <v>67</v>
      </c>
      <c r="B55" s="3">
        <v>45451</v>
      </c>
      <c r="C55" t="s">
        <v>522</v>
      </c>
      <c r="D55" t="s">
        <v>523</v>
      </c>
      <c r="E55" t="s">
        <v>539</v>
      </c>
      <c r="F55">
        <v>73</v>
      </c>
      <c r="G55">
        <v>63</v>
      </c>
      <c r="H55">
        <v>198</v>
      </c>
      <c r="I55">
        <v>12474</v>
      </c>
      <c r="J55">
        <v>0.22</v>
      </c>
      <c r="K55">
        <v>2744.28</v>
      </c>
      <c r="L55">
        <v>15218.28</v>
      </c>
      <c r="M55" t="s">
        <v>543</v>
      </c>
      <c r="N55" t="s">
        <v>549</v>
      </c>
    </row>
    <row r="56" spans="1:14" x14ac:dyDescent="0.3">
      <c r="A56" t="s">
        <v>68</v>
      </c>
      <c r="B56" s="3">
        <v>45562</v>
      </c>
      <c r="C56" t="s">
        <v>516</v>
      </c>
      <c r="D56" t="s">
        <v>533</v>
      </c>
      <c r="E56" t="s">
        <v>537</v>
      </c>
      <c r="F56">
        <v>8</v>
      </c>
      <c r="G56">
        <v>8</v>
      </c>
      <c r="H56">
        <v>222</v>
      </c>
      <c r="I56">
        <v>1776</v>
      </c>
      <c r="J56">
        <v>0.1</v>
      </c>
      <c r="K56">
        <v>177.6</v>
      </c>
      <c r="L56">
        <v>1953.6</v>
      </c>
      <c r="M56" t="s">
        <v>542</v>
      </c>
      <c r="N56" t="s">
        <v>544</v>
      </c>
    </row>
    <row r="57" spans="1:14" x14ac:dyDescent="0.3">
      <c r="A57" t="s">
        <v>69</v>
      </c>
      <c r="B57" s="3">
        <v>45725</v>
      </c>
      <c r="C57" t="s">
        <v>522</v>
      </c>
      <c r="D57" t="s">
        <v>524</v>
      </c>
      <c r="E57" t="s">
        <v>535</v>
      </c>
      <c r="F57">
        <v>41</v>
      </c>
      <c r="G57">
        <v>35</v>
      </c>
      <c r="H57">
        <v>92</v>
      </c>
      <c r="I57">
        <v>3220</v>
      </c>
      <c r="J57">
        <v>0.22</v>
      </c>
      <c r="K57">
        <v>708.4</v>
      </c>
      <c r="L57">
        <v>3928.4</v>
      </c>
      <c r="M57" t="s">
        <v>542</v>
      </c>
      <c r="N57" t="s">
        <v>548</v>
      </c>
    </row>
    <row r="58" spans="1:14" x14ac:dyDescent="0.3">
      <c r="A58" t="s">
        <v>70</v>
      </c>
      <c r="B58" s="3">
        <v>45457</v>
      </c>
      <c r="C58" t="s">
        <v>517</v>
      </c>
      <c r="D58" t="s">
        <v>528</v>
      </c>
      <c r="E58" t="s">
        <v>536</v>
      </c>
      <c r="F58">
        <v>4</v>
      </c>
      <c r="G58">
        <v>5</v>
      </c>
      <c r="H58">
        <v>293</v>
      </c>
      <c r="I58">
        <v>1465</v>
      </c>
      <c r="J58">
        <v>0.22</v>
      </c>
      <c r="K58">
        <v>322.3</v>
      </c>
      <c r="L58">
        <v>1787.3</v>
      </c>
      <c r="M58" t="s">
        <v>542</v>
      </c>
      <c r="N58" t="s">
        <v>544</v>
      </c>
    </row>
    <row r="59" spans="1:14" x14ac:dyDescent="0.3">
      <c r="A59" t="s">
        <v>71</v>
      </c>
      <c r="B59" s="3">
        <v>45369</v>
      </c>
      <c r="C59" t="s">
        <v>521</v>
      </c>
      <c r="D59" t="s">
        <v>528</v>
      </c>
      <c r="E59" t="s">
        <v>535</v>
      </c>
      <c r="F59">
        <v>36</v>
      </c>
      <c r="G59">
        <v>41</v>
      </c>
      <c r="H59">
        <v>87</v>
      </c>
      <c r="I59">
        <v>3567</v>
      </c>
      <c r="J59">
        <v>0.22</v>
      </c>
      <c r="K59">
        <v>784.74</v>
      </c>
      <c r="L59">
        <v>4351.74</v>
      </c>
      <c r="M59" t="s">
        <v>541</v>
      </c>
      <c r="N59" t="s">
        <v>545</v>
      </c>
    </row>
    <row r="60" spans="1:14" x14ac:dyDescent="0.3">
      <c r="A60" t="s">
        <v>72</v>
      </c>
      <c r="B60" s="3">
        <v>45443</v>
      </c>
      <c r="C60" t="s">
        <v>515</v>
      </c>
      <c r="D60" t="s">
        <v>532</v>
      </c>
      <c r="E60" t="s">
        <v>535</v>
      </c>
      <c r="F60">
        <v>6</v>
      </c>
      <c r="G60">
        <v>7</v>
      </c>
      <c r="H60">
        <v>260</v>
      </c>
      <c r="I60">
        <v>1820</v>
      </c>
      <c r="J60">
        <v>0.22</v>
      </c>
      <c r="K60">
        <v>400.4</v>
      </c>
      <c r="L60">
        <v>2220.4</v>
      </c>
      <c r="M60" t="s">
        <v>542</v>
      </c>
      <c r="N60" t="s">
        <v>551</v>
      </c>
    </row>
    <row r="61" spans="1:14" x14ac:dyDescent="0.3">
      <c r="A61" t="s">
        <v>73</v>
      </c>
      <c r="B61" s="3">
        <v>45507</v>
      </c>
      <c r="C61" t="s">
        <v>519</v>
      </c>
      <c r="D61" t="s">
        <v>529</v>
      </c>
      <c r="E61" t="s">
        <v>535</v>
      </c>
      <c r="F61">
        <v>67</v>
      </c>
      <c r="G61">
        <v>72</v>
      </c>
      <c r="H61">
        <v>71</v>
      </c>
      <c r="I61">
        <v>5112</v>
      </c>
      <c r="J61">
        <v>0</v>
      </c>
      <c r="K61">
        <v>0</v>
      </c>
      <c r="L61">
        <v>5112</v>
      </c>
      <c r="M61" t="s">
        <v>543</v>
      </c>
      <c r="N61" t="s">
        <v>545</v>
      </c>
    </row>
    <row r="62" spans="1:14" x14ac:dyDescent="0.3">
      <c r="A62" t="s">
        <v>74</v>
      </c>
      <c r="B62" s="3">
        <v>45708</v>
      </c>
      <c r="C62" t="s">
        <v>521</v>
      </c>
      <c r="D62" t="s">
        <v>525</v>
      </c>
      <c r="E62" t="s">
        <v>538</v>
      </c>
      <c r="F62">
        <v>32</v>
      </c>
      <c r="G62">
        <v>34</v>
      </c>
      <c r="H62">
        <v>92</v>
      </c>
      <c r="I62">
        <v>3128</v>
      </c>
      <c r="J62">
        <v>0.22</v>
      </c>
      <c r="K62">
        <v>688.16</v>
      </c>
      <c r="L62">
        <v>3816.16</v>
      </c>
      <c r="M62" t="s">
        <v>542</v>
      </c>
      <c r="N62" t="s">
        <v>546</v>
      </c>
    </row>
    <row r="63" spans="1:14" x14ac:dyDescent="0.3">
      <c r="A63" t="s">
        <v>75</v>
      </c>
      <c r="B63" s="3">
        <v>45317</v>
      </c>
      <c r="C63" t="s">
        <v>521</v>
      </c>
      <c r="D63" t="s">
        <v>531</v>
      </c>
      <c r="E63" t="s">
        <v>538</v>
      </c>
      <c r="F63">
        <v>44</v>
      </c>
      <c r="G63">
        <v>48</v>
      </c>
      <c r="H63">
        <v>210</v>
      </c>
      <c r="I63">
        <v>10080</v>
      </c>
      <c r="J63">
        <v>0.1</v>
      </c>
      <c r="K63">
        <v>1008</v>
      </c>
      <c r="L63">
        <v>11088</v>
      </c>
      <c r="M63" t="s">
        <v>541</v>
      </c>
      <c r="N63" t="s">
        <v>549</v>
      </c>
    </row>
    <row r="64" spans="1:14" x14ac:dyDescent="0.3">
      <c r="A64" t="s">
        <v>76</v>
      </c>
      <c r="B64" s="3">
        <v>45565</v>
      </c>
      <c r="C64" t="s">
        <v>521</v>
      </c>
      <c r="D64" t="s">
        <v>527</v>
      </c>
      <c r="E64" t="s">
        <v>540</v>
      </c>
      <c r="F64">
        <v>70</v>
      </c>
      <c r="G64">
        <v>62</v>
      </c>
      <c r="H64">
        <v>275</v>
      </c>
      <c r="I64">
        <v>17050</v>
      </c>
      <c r="J64">
        <v>0.1</v>
      </c>
      <c r="K64">
        <v>1705</v>
      </c>
      <c r="L64">
        <v>18755</v>
      </c>
      <c r="M64" t="s">
        <v>543</v>
      </c>
      <c r="N64" t="s">
        <v>549</v>
      </c>
    </row>
    <row r="65" spans="1:14" x14ac:dyDescent="0.3">
      <c r="A65" t="s">
        <v>77</v>
      </c>
      <c r="B65" s="3">
        <v>45496</v>
      </c>
      <c r="C65" t="s">
        <v>517</v>
      </c>
      <c r="D65" t="s">
        <v>531</v>
      </c>
      <c r="E65" t="s">
        <v>537</v>
      </c>
      <c r="F65">
        <v>35</v>
      </c>
      <c r="G65">
        <v>37</v>
      </c>
      <c r="H65">
        <v>158</v>
      </c>
      <c r="I65">
        <v>5846</v>
      </c>
      <c r="J65">
        <v>0.22</v>
      </c>
      <c r="K65">
        <v>1286.1199999999999</v>
      </c>
      <c r="L65">
        <v>7132.12</v>
      </c>
      <c r="M65" t="s">
        <v>542</v>
      </c>
      <c r="N65" t="s">
        <v>549</v>
      </c>
    </row>
    <row r="66" spans="1:14" x14ac:dyDescent="0.3">
      <c r="A66" t="s">
        <v>78</v>
      </c>
      <c r="B66" s="3">
        <v>45316</v>
      </c>
      <c r="C66" t="s">
        <v>519</v>
      </c>
      <c r="D66" t="s">
        <v>530</v>
      </c>
      <c r="E66" t="s">
        <v>537</v>
      </c>
      <c r="F66">
        <v>40</v>
      </c>
      <c r="G66">
        <v>44</v>
      </c>
      <c r="H66">
        <v>163</v>
      </c>
      <c r="I66">
        <v>7172</v>
      </c>
      <c r="J66">
        <v>0.22</v>
      </c>
      <c r="K66">
        <v>1577.84</v>
      </c>
      <c r="L66">
        <v>8749.84</v>
      </c>
      <c r="M66" t="s">
        <v>542</v>
      </c>
      <c r="N66" t="s">
        <v>548</v>
      </c>
    </row>
    <row r="67" spans="1:14" x14ac:dyDescent="0.3">
      <c r="A67" t="s">
        <v>79</v>
      </c>
      <c r="B67" s="3">
        <v>45651</v>
      </c>
      <c r="C67" t="s">
        <v>516</v>
      </c>
      <c r="D67" t="s">
        <v>530</v>
      </c>
      <c r="E67" t="s">
        <v>536</v>
      </c>
      <c r="F67">
        <v>36</v>
      </c>
      <c r="G67">
        <v>35</v>
      </c>
      <c r="H67">
        <v>252</v>
      </c>
      <c r="I67">
        <v>8820</v>
      </c>
      <c r="J67">
        <v>0.1</v>
      </c>
      <c r="K67">
        <v>882</v>
      </c>
      <c r="L67">
        <v>9702</v>
      </c>
      <c r="M67" t="s">
        <v>541</v>
      </c>
      <c r="N67" t="s">
        <v>551</v>
      </c>
    </row>
    <row r="68" spans="1:14" x14ac:dyDescent="0.3">
      <c r="A68" t="s">
        <v>80</v>
      </c>
      <c r="B68" s="3">
        <v>45320</v>
      </c>
      <c r="C68" t="s">
        <v>520</v>
      </c>
      <c r="D68" t="s">
        <v>523</v>
      </c>
      <c r="E68" t="s">
        <v>534</v>
      </c>
      <c r="F68">
        <v>40</v>
      </c>
      <c r="G68">
        <v>47</v>
      </c>
      <c r="H68">
        <v>265</v>
      </c>
      <c r="I68">
        <v>12455</v>
      </c>
      <c r="J68">
        <v>0.22</v>
      </c>
      <c r="K68">
        <v>2740.1</v>
      </c>
      <c r="L68">
        <v>15195.1</v>
      </c>
      <c r="M68" t="s">
        <v>543</v>
      </c>
      <c r="N68" t="s">
        <v>550</v>
      </c>
    </row>
    <row r="69" spans="1:14" x14ac:dyDescent="0.3">
      <c r="A69" t="s">
        <v>81</v>
      </c>
      <c r="B69" s="3">
        <v>45403</v>
      </c>
      <c r="C69" t="s">
        <v>515</v>
      </c>
      <c r="D69" t="s">
        <v>531</v>
      </c>
      <c r="E69" t="s">
        <v>536</v>
      </c>
      <c r="F69">
        <v>3</v>
      </c>
      <c r="G69">
        <v>3</v>
      </c>
      <c r="H69">
        <v>60</v>
      </c>
      <c r="I69">
        <v>180</v>
      </c>
      <c r="J69">
        <v>0.22</v>
      </c>
      <c r="K69">
        <v>39.6</v>
      </c>
      <c r="L69">
        <v>219.6</v>
      </c>
      <c r="M69" t="s">
        <v>543</v>
      </c>
      <c r="N69" t="s">
        <v>553</v>
      </c>
    </row>
    <row r="70" spans="1:14" x14ac:dyDescent="0.3">
      <c r="A70" t="s">
        <v>82</v>
      </c>
      <c r="B70" s="3">
        <v>45815</v>
      </c>
      <c r="C70" t="s">
        <v>520</v>
      </c>
      <c r="D70" t="s">
        <v>530</v>
      </c>
      <c r="E70" t="s">
        <v>539</v>
      </c>
      <c r="F70">
        <v>4</v>
      </c>
      <c r="G70">
        <v>5</v>
      </c>
      <c r="H70">
        <v>277</v>
      </c>
      <c r="I70">
        <v>1385</v>
      </c>
      <c r="J70">
        <v>0.22</v>
      </c>
      <c r="K70">
        <v>304.7</v>
      </c>
      <c r="L70">
        <v>1689.7</v>
      </c>
      <c r="M70" t="s">
        <v>542</v>
      </c>
      <c r="N70" t="s">
        <v>546</v>
      </c>
    </row>
    <row r="71" spans="1:14" x14ac:dyDescent="0.3">
      <c r="A71" t="s">
        <v>83</v>
      </c>
      <c r="B71" s="3">
        <v>45293</v>
      </c>
      <c r="C71" t="s">
        <v>516</v>
      </c>
      <c r="D71" t="s">
        <v>528</v>
      </c>
      <c r="E71" t="s">
        <v>536</v>
      </c>
      <c r="F71">
        <v>17</v>
      </c>
      <c r="G71">
        <v>14</v>
      </c>
      <c r="H71">
        <v>162</v>
      </c>
      <c r="I71">
        <v>2268</v>
      </c>
      <c r="J71">
        <v>0.22</v>
      </c>
      <c r="K71">
        <v>498.96</v>
      </c>
      <c r="L71">
        <v>2766.96</v>
      </c>
      <c r="M71" t="s">
        <v>541</v>
      </c>
      <c r="N71" t="s">
        <v>549</v>
      </c>
    </row>
    <row r="72" spans="1:14" x14ac:dyDescent="0.3">
      <c r="A72" t="s">
        <v>84</v>
      </c>
      <c r="B72" s="3">
        <v>45664</v>
      </c>
      <c r="C72" t="s">
        <v>515</v>
      </c>
      <c r="D72" t="s">
        <v>527</v>
      </c>
      <c r="E72" t="s">
        <v>536</v>
      </c>
      <c r="F72">
        <v>30</v>
      </c>
      <c r="G72">
        <v>27</v>
      </c>
      <c r="H72">
        <v>196</v>
      </c>
      <c r="I72">
        <v>5292</v>
      </c>
      <c r="J72">
        <v>0.1</v>
      </c>
      <c r="K72">
        <v>529.20000000000005</v>
      </c>
      <c r="L72">
        <v>5821.2</v>
      </c>
      <c r="M72" t="s">
        <v>541</v>
      </c>
      <c r="N72" t="s">
        <v>551</v>
      </c>
    </row>
    <row r="73" spans="1:14" x14ac:dyDescent="0.3">
      <c r="A73" t="s">
        <v>85</v>
      </c>
      <c r="B73" s="3">
        <v>45419</v>
      </c>
      <c r="C73" t="s">
        <v>522</v>
      </c>
      <c r="D73" t="s">
        <v>528</v>
      </c>
      <c r="E73" t="s">
        <v>537</v>
      </c>
      <c r="F73">
        <v>69</v>
      </c>
      <c r="G73">
        <v>79</v>
      </c>
      <c r="H73">
        <v>74</v>
      </c>
      <c r="I73">
        <v>5846</v>
      </c>
      <c r="J73">
        <v>0.22</v>
      </c>
      <c r="K73">
        <v>1286.1199999999999</v>
      </c>
      <c r="L73">
        <v>7132.12</v>
      </c>
      <c r="M73" t="s">
        <v>543</v>
      </c>
      <c r="N73" t="s">
        <v>546</v>
      </c>
    </row>
    <row r="74" spans="1:14" x14ac:dyDescent="0.3">
      <c r="A74" t="s">
        <v>86</v>
      </c>
      <c r="B74" s="3">
        <v>45594</v>
      </c>
      <c r="C74" t="s">
        <v>516</v>
      </c>
      <c r="D74" t="s">
        <v>532</v>
      </c>
      <c r="E74" t="s">
        <v>534</v>
      </c>
      <c r="F74">
        <v>34</v>
      </c>
      <c r="G74">
        <v>42</v>
      </c>
      <c r="H74">
        <v>183</v>
      </c>
      <c r="I74">
        <v>7686</v>
      </c>
      <c r="J74">
        <v>0.22</v>
      </c>
      <c r="K74">
        <v>1690.92</v>
      </c>
      <c r="L74">
        <v>9376.92</v>
      </c>
      <c r="M74" t="s">
        <v>543</v>
      </c>
      <c r="N74" t="s">
        <v>547</v>
      </c>
    </row>
    <row r="75" spans="1:14" x14ac:dyDescent="0.3">
      <c r="A75" t="s">
        <v>87</v>
      </c>
      <c r="B75" s="3">
        <v>45600</v>
      </c>
      <c r="C75" t="s">
        <v>515</v>
      </c>
      <c r="D75" t="s">
        <v>528</v>
      </c>
      <c r="E75" t="s">
        <v>538</v>
      </c>
      <c r="F75">
        <v>87</v>
      </c>
      <c r="G75">
        <v>77</v>
      </c>
      <c r="H75">
        <v>238</v>
      </c>
      <c r="I75">
        <v>18326</v>
      </c>
      <c r="J75">
        <v>0.22</v>
      </c>
      <c r="K75">
        <v>4031.72</v>
      </c>
      <c r="L75">
        <v>22357.72</v>
      </c>
      <c r="M75" t="s">
        <v>543</v>
      </c>
      <c r="N75" t="s">
        <v>549</v>
      </c>
    </row>
    <row r="76" spans="1:14" x14ac:dyDescent="0.3">
      <c r="A76" t="s">
        <v>88</v>
      </c>
      <c r="B76" s="3">
        <v>45732</v>
      </c>
      <c r="C76" t="s">
        <v>518</v>
      </c>
      <c r="D76" t="s">
        <v>533</v>
      </c>
      <c r="E76" t="s">
        <v>540</v>
      </c>
      <c r="F76">
        <v>68</v>
      </c>
      <c r="G76">
        <v>63</v>
      </c>
      <c r="H76">
        <v>155</v>
      </c>
      <c r="I76">
        <v>9765</v>
      </c>
      <c r="J76">
        <v>0.22</v>
      </c>
      <c r="K76">
        <v>2148.3000000000002</v>
      </c>
      <c r="L76">
        <v>11913.3</v>
      </c>
      <c r="M76" t="s">
        <v>542</v>
      </c>
      <c r="N76" t="s">
        <v>545</v>
      </c>
    </row>
    <row r="77" spans="1:14" x14ac:dyDescent="0.3">
      <c r="A77" t="s">
        <v>89</v>
      </c>
      <c r="B77" s="3">
        <v>45776</v>
      </c>
      <c r="C77" t="s">
        <v>521</v>
      </c>
      <c r="D77" t="s">
        <v>529</v>
      </c>
      <c r="E77" t="s">
        <v>535</v>
      </c>
      <c r="F77">
        <v>57</v>
      </c>
      <c r="G77">
        <v>52</v>
      </c>
      <c r="H77">
        <v>155</v>
      </c>
      <c r="I77">
        <v>8060</v>
      </c>
      <c r="J77">
        <v>0</v>
      </c>
      <c r="K77">
        <v>0</v>
      </c>
      <c r="L77">
        <v>8060</v>
      </c>
      <c r="M77" t="s">
        <v>543</v>
      </c>
      <c r="N77" t="s">
        <v>545</v>
      </c>
    </row>
    <row r="78" spans="1:14" x14ac:dyDescent="0.3">
      <c r="A78" t="s">
        <v>90</v>
      </c>
      <c r="B78" s="3">
        <v>45635</v>
      </c>
      <c r="C78" t="s">
        <v>520</v>
      </c>
      <c r="D78" t="s">
        <v>525</v>
      </c>
      <c r="E78" t="s">
        <v>536</v>
      </c>
      <c r="F78">
        <v>4</v>
      </c>
      <c r="G78">
        <v>4</v>
      </c>
      <c r="H78">
        <v>281</v>
      </c>
      <c r="I78">
        <v>1124</v>
      </c>
      <c r="J78">
        <v>0.22</v>
      </c>
      <c r="K78">
        <v>247.28</v>
      </c>
      <c r="L78">
        <v>1371.28</v>
      </c>
      <c r="M78" t="s">
        <v>542</v>
      </c>
      <c r="N78" t="s">
        <v>547</v>
      </c>
    </row>
    <row r="79" spans="1:14" x14ac:dyDescent="0.3">
      <c r="A79" t="s">
        <v>91</v>
      </c>
      <c r="B79" s="3">
        <v>45317</v>
      </c>
      <c r="C79" t="s">
        <v>514</v>
      </c>
      <c r="D79" t="s">
        <v>525</v>
      </c>
      <c r="E79" t="s">
        <v>540</v>
      </c>
      <c r="F79">
        <v>19</v>
      </c>
      <c r="G79">
        <v>23</v>
      </c>
      <c r="H79">
        <v>290</v>
      </c>
      <c r="I79">
        <v>6670</v>
      </c>
      <c r="J79">
        <v>0.22</v>
      </c>
      <c r="K79">
        <v>1467.4</v>
      </c>
      <c r="L79">
        <v>8137.4</v>
      </c>
      <c r="M79" t="s">
        <v>542</v>
      </c>
      <c r="N79" t="s">
        <v>552</v>
      </c>
    </row>
    <row r="80" spans="1:14" x14ac:dyDescent="0.3">
      <c r="A80" t="s">
        <v>92</v>
      </c>
      <c r="B80" s="3">
        <v>45716</v>
      </c>
      <c r="C80" t="s">
        <v>519</v>
      </c>
      <c r="D80" t="s">
        <v>530</v>
      </c>
      <c r="E80" t="s">
        <v>540</v>
      </c>
      <c r="F80">
        <v>14</v>
      </c>
      <c r="G80">
        <v>15</v>
      </c>
      <c r="H80">
        <v>230</v>
      </c>
      <c r="I80">
        <v>3450</v>
      </c>
      <c r="J80">
        <v>0.22</v>
      </c>
      <c r="K80">
        <v>759</v>
      </c>
      <c r="L80">
        <v>4209</v>
      </c>
      <c r="M80" t="s">
        <v>542</v>
      </c>
      <c r="N80" t="s">
        <v>550</v>
      </c>
    </row>
    <row r="81" spans="1:14" x14ac:dyDescent="0.3">
      <c r="A81" t="s">
        <v>93</v>
      </c>
      <c r="B81" s="3">
        <v>45401</v>
      </c>
      <c r="C81" t="s">
        <v>515</v>
      </c>
      <c r="D81" t="s">
        <v>525</v>
      </c>
      <c r="E81" t="s">
        <v>534</v>
      </c>
      <c r="F81">
        <v>25</v>
      </c>
      <c r="G81">
        <v>29</v>
      </c>
      <c r="H81">
        <v>95</v>
      </c>
      <c r="I81">
        <v>2755</v>
      </c>
      <c r="J81">
        <v>0.22</v>
      </c>
      <c r="K81">
        <v>606.1</v>
      </c>
      <c r="L81">
        <v>3361.1</v>
      </c>
      <c r="M81" t="s">
        <v>541</v>
      </c>
      <c r="N81" t="s">
        <v>545</v>
      </c>
    </row>
    <row r="82" spans="1:14" x14ac:dyDescent="0.3">
      <c r="A82" t="s">
        <v>94</v>
      </c>
      <c r="B82" s="3">
        <v>45767</v>
      </c>
      <c r="C82" t="s">
        <v>514</v>
      </c>
      <c r="D82" t="s">
        <v>528</v>
      </c>
      <c r="E82" t="s">
        <v>534</v>
      </c>
      <c r="F82">
        <v>15</v>
      </c>
      <c r="G82">
        <v>13</v>
      </c>
      <c r="H82">
        <v>219</v>
      </c>
      <c r="I82">
        <v>2847</v>
      </c>
      <c r="J82">
        <v>0.1</v>
      </c>
      <c r="K82">
        <v>284.7</v>
      </c>
      <c r="L82">
        <v>3131.7</v>
      </c>
      <c r="M82" t="s">
        <v>542</v>
      </c>
      <c r="N82" t="s">
        <v>552</v>
      </c>
    </row>
    <row r="83" spans="1:14" x14ac:dyDescent="0.3">
      <c r="A83" t="s">
        <v>95</v>
      </c>
      <c r="B83" s="3">
        <v>45428</v>
      </c>
      <c r="C83" t="s">
        <v>517</v>
      </c>
      <c r="D83" t="s">
        <v>529</v>
      </c>
      <c r="E83" t="s">
        <v>539</v>
      </c>
      <c r="F83">
        <v>75</v>
      </c>
      <c r="G83">
        <v>71</v>
      </c>
      <c r="H83">
        <v>246</v>
      </c>
      <c r="I83">
        <v>17466</v>
      </c>
      <c r="J83">
        <v>0</v>
      </c>
      <c r="K83">
        <v>0</v>
      </c>
      <c r="L83">
        <v>17466</v>
      </c>
      <c r="M83" t="s">
        <v>541</v>
      </c>
      <c r="N83" t="s">
        <v>553</v>
      </c>
    </row>
    <row r="84" spans="1:14" x14ac:dyDescent="0.3">
      <c r="A84" t="s">
        <v>96</v>
      </c>
      <c r="B84" s="3">
        <v>45616</v>
      </c>
      <c r="C84" t="s">
        <v>517</v>
      </c>
      <c r="D84" t="s">
        <v>526</v>
      </c>
      <c r="E84" t="s">
        <v>538</v>
      </c>
      <c r="F84">
        <v>26</v>
      </c>
      <c r="G84">
        <v>28</v>
      </c>
      <c r="H84">
        <v>125</v>
      </c>
      <c r="I84">
        <v>3500</v>
      </c>
      <c r="J84">
        <v>0</v>
      </c>
      <c r="K84">
        <v>0</v>
      </c>
      <c r="L84">
        <v>3500</v>
      </c>
      <c r="M84" t="s">
        <v>541</v>
      </c>
      <c r="N84" t="s">
        <v>545</v>
      </c>
    </row>
    <row r="85" spans="1:14" x14ac:dyDescent="0.3">
      <c r="A85" t="s">
        <v>97</v>
      </c>
      <c r="B85" s="3">
        <v>45728</v>
      </c>
      <c r="C85" t="s">
        <v>516</v>
      </c>
      <c r="D85" t="s">
        <v>533</v>
      </c>
      <c r="E85" t="s">
        <v>534</v>
      </c>
      <c r="F85">
        <v>35</v>
      </c>
      <c r="G85">
        <v>42</v>
      </c>
      <c r="H85">
        <v>104</v>
      </c>
      <c r="I85">
        <v>4368</v>
      </c>
      <c r="J85">
        <v>0.22</v>
      </c>
      <c r="K85">
        <v>960.96</v>
      </c>
      <c r="L85">
        <v>5328.96</v>
      </c>
      <c r="M85" t="s">
        <v>543</v>
      </c>
      <c r="N85" t="s">
        <v>552</v>
      </c>
    </row>
    <row r="86" spans="1:14" x14ac:dyDescent="0.3">
      <c r="A86" t="s">
        <v>98</v>
      </c>
      <c r="B86" s="3">
        <v>45557</v>
      </c>
      <c r="C86" t="s">
        <v>519</v>
      </c>
      <c r="D86" t="s">
        <v>529</v>
      </c>
      <c r="E86" t="s">
        <v>537</v>
      </c>
      <c r="F86">
        <v>57</v>
      </c>
      <c r="G86">
        <v>62</v>
      </c>
      <c r="H86">
        <v>244</v>
      </c>
      <c r="I86">
        <v>15128</v>
      </c>
      <c r="J86">
        <v>0</v>
      </c>
      <c r="K86">
        <v>0</v>
      </c>
      <c r="L86">
        <v>15128</v>
      </c>
      <c r="M86" t="s">
        <v>541</v>
      </c>
      <c r="N86" t="s">
        <v>552</v>
      </c>
    </row>
    <row r="87" spans="1:14" x14ac:dyDescent="0.3">
      <c r="A87" t="s">
        <v>99</v>
      </c>
      <c r="B87" s="3">
        <v>45536</v>
      </c>
      <c r="C87" t="s">
        <v>522</v>
      </c>
      <c r="D87" t="s">
        <v>533</v>
      </c>
      <c r="E87" t="s">
        <v>535</v>
      </c>
      <c r="F87">
        <v>6</v>
      </c>
      <c r="G87">
        <v>6</v>
      </c>
      <c r="H87">
        <v>87</v>
      </c>
      <c r="I87">
        <v>522</v>
      </c>
      <c r="J87">
        <v>0.22</v>
      </c>
      <c r="K87">
        <v>114.84</v>
      </c>
      <c r="L87">
        <v>636.84</v>
      </c>
      <c r="M87" t="s">
        <v>542</v>
      </c>
      <c r="N87" t="s">
        <v>548</v>
      </c>
    </row>
    <row r="88" spans="1:14" x14ac:dyDescent="0.3">
      <c r="A88" t="s">
        <v>100</v>
      </c>
      <c r="B88" s="3">
        <v>45635</v>
      </c>
      <c r="C88" t="s">
        <v>518</v>
      </c>
      <c r="D88" t="s">
        <v>528</v>
      </c>
      <c r="E88" t="s">
        <v>535</v>
      </c>
      <c r="F88">
        <v>31</v>
      </c>
      <c r="G88">
        <v>28</v>
      </c>
      <c r="H88">
        <v>167</v>
      </c>
      <c r="I88">
        <v>4676</v>
      </c>
      <c r="J88">
        <v>0.22</v>
      </c>
      <c r="K88">
        <v>1028.72</v>
      </c>
      <c r="L88">
        <v>5704.72</v>
      </c>
      <c r="M88" t="s">
        <v>542</v>
      </c>
      <c r="N88" t="s">
        <v>546</v>
      </c>
    </row>
    <row r="89" spans="1:14" x14ac:dyDescent="0.3">
      <c r="A89" t="s">
        <v>101</v>
      </c>
      <c r="B89" s="3">
        <v>45448</v>
      </c>
      <c r="C89" t="s">
        <v>519</v>
      </c>
      <c r="D89" t="s">
        <v>527</v>
      </c>
      <c r="E89" t="s">
        <v>540</v>
      </c>
      <c r="F89">
        <v>46</v>
      </c>
      <c r="G89">
        <v>44</v>
      </c>
      <c r="H89">
        <v>143</v>
      </c>
      <c r="I89">
        <v>6292</v>
      </c>
      <c r="J89">
        <v>0.22</v>
      </c>
      <c r="K89">
        <v>1384.24</v>
      </c>
      <c r="L89">
        <v>7676.24</v>
      </c>
      <c r="M89" t="s">
        <v>541</v>
      </c>
      <c r="N89" t="s">
        <v>552</v>
      </c>
    </row>
    <row r="90" spans="1:14" x14ac:dyDescent="0.3">
      <c r="A90" t="s">
        <v>102</v>
      </c>
      <c r="B90" s="3">
        <v>45717</v>
      </c>
      <c r="C90" t="s">
        <v>514</v>
      </c>
      <c r="D90" t="s">
        <v>525</v>
      </c>
      <c r="E90" t="s">
        <v>538</v>
      </c>
      <c r="F90">
        <v>35</v>
      </c>
      <c r="G90">
        <v>30</v>
      </c>
      <c r="H90">
        <v>249</v>
      </c>
      <c r="I90">
        <v>7470</v>
      </c>
      <c r="J90">
        <v>0.22</v>
      </c>
      <c r="K90">
        <v>1643.4</v>
      </c>
      <c r="L90">
        <v>9113.4</v>
      </c>
      <c r="M90" t="s">
        <v>541</v>
      </c>
      <c r="N90" t="s">
        <v>550</v>
      </c>
    </row>
    <row r="91" spans="1:14" x14ac:dyDescent="0.3">
      <c r="A91" t="s">
        <v>103</v>
      </c>
      <c r="B91" s="3">
        <v>45681</v>
      </c>
      <c r="C91" t="s">
        <v>517</v>
      </c>
      <c r="D91" t="s">
        <v>524</v>
      </c>
      <c r="E91" t="s">
        <v>537</v>
      </c>
      <c r="F91">
        <v>74</v>
      </c>
      <c r="G91">
        <v>75</v>
      </c>
      <c r="H91">
        <v>187</v>
      </c>
      <c r="I91">
        <v>14025</v>
      </c>
      <c r="J91">
        <v>0.22</v>
      </c>
      <c r="K91">
        <v>3085.5</v>
      </c>
      <c r="L91">
        <v>17110.5</v>
      </c>
      <c r="M91" t="s">
        <v>543</v>
      </c>
      <c r="N91" t="s">
        <v>546</v>
      </c>
    </row>
    <row r="92" spans="1:14" x14ac:dyDescent="0.3">
      <c r="A92" t="s">
        <v>104</v>
      </c>
      <c r="B92" s="3">
        <v>45517</v>
      </c>
      <c r="C92" t="s">
        <v>517</v>
      </c>
      <c r="D92" t="s">
        <v>525</v>
      </c>
      <c r="E92" t="s">
        <v>537</v>
      </c>
      <c r="F92">
        <v>53</v>
      </c>
      <c r="G92">
        <v>62</v>
      </c>
      <c r="H92">
        <v>284</v>
      </c>
      <c r="I92">
        <v>17608</v>
      </c>
      <c r="J92">
        <v>0.22</v>
      </c>
      <c r="K92">
        <v>3873.76</v>
      </c>
      <c r="L92">
        <v>21481.759999999998</v>
      </c>
      <c r="M92" t="s">
        <v>542</v>
      </c>
      <c r="N92" t="s">
        <v>546</v>
      </c>
    </row>
    <row r="93" spans="1:14" x14ac:dyDescent="0.3">
      <c r="A93" t="s">
        <v>105</v>
      </c>
      <c r="B93" s="3">
        <v>45636</v>
      </c>
      <c r="C93" t="s">
        <v>515</v>
      </c>
      <c r="D93" t="s">
        <v>532</v>
      </c>
      <c r="E93" t="s">
        <v>538</v>
      </c>
      <c r="F93">
        <v>1</v>
      </c>
      <c r="G93">
        <v>1</v>
      </c>
      <c r="H93">
        <v>180</v>
      </c>
      <c r="I93">
        <v>180</v>
      </c>
      <c r="J93">
        <v>0.22</v>
      </c>
      <c r="K93">
        <v>39.6</v>
      </c>
      <c r="L93">
        <v>219.6</v>
      </c>
      <c r="M93" t="s">
        <v>542</v>
      </c>
      <c r="N93" t="s">
        <v>553</v>
      </c>
    </row>
    <row r="94" spans="1:14" x14ac:dyDescent="0.3">
      <c r="A94" t="s">
        <v>106</v>
      </c>
      <c r="B94" s="3">
        <v>45319</v>
      </c>
      <c r="C94" t="s">
        <v>515</v>
      </c>
      <c r="D94" t="s">
        <v>526</v>
      </c>
      <c r="E94" t="s">
        <v>539</v>
      </c>
      <c r="F94">
        <v>30</v>
      </c>
      <c r="G94">
        <v>27</v>
      </c>
      <c r="H94">
        <v>249</v>
      </c>
      <c r="I94">
        <v>6723</v>
      </c>
      <c r="J94">
        <v>0</v>
      </c>
      <c r="K94">
        <v>0</v>
      </c>
      <c r="L94">
        <v>6723</v>
      </c>
      <c r="M94" t="s">
        <v>541</v>
      </c>
      <c r="N94" t="s">
        <v>550</v>
      </c>
    </row>
    <row r="95" spans="1:14" x14ac:dyDescent="0.3">
      <c r="A95" t="s">
        <v>107</v>
      </c>
      <c r="B95" s="3">
        <v>45377</v>
      </c>
      <c r="C95" t="s">
        <v>515</v>
      </c>
      <c r="D95" t="s">
        <v>532</v>
      </c>
      <c r="E95" t="s">
        <v>538</v>
      </c>
      <c r="F95">
        <v>79</v>
      </c>
      <c r="G95">
        <v>77</v>
      </c>
      <c r="H95">
        <v>292</v>
      </c>
      <c r="I95">
        <v>22484</v>
      </c>
      <c r="J95">
        <v>0.22</v>
      </c>
      <c r="K95">
        <v>4946.4799999999996</v>
      </c>
      <c r="L95">
        <v>27430.48</v>
      </c>
      <c r="M95" t="s">
        <v>542</v>
      </c>
      <c r="N95" t="s">
        <v>548</v>
      </c>
    </row>
    <row r="96" spans="1:14" x14ac:dyDescent="0.3">
      <c r="A96" t="s">
        <v>108</v>
      </c>
      <c r="B96" s="3">
        <v>45680</v>
      </c>
      <c r="C96" t="s">
        <v>518</v>
      </c>
      <c r="D96" t="s">
        <v>525</v>
      </c>
      <c r="E96" t="s">
        <v>540</v>
      </c>
      <c r="F96">
        <v>3</v>
      </c>
      <c r="G96">
        <v>3</v>
      </c>
      <c r="H96">
        <v>162</v>
      </c>
      <c r="I96">
        <v>486</v>
      </c>
      <c r="J96">
        <v>0.22</v>
      </c>
      <c r="K96">
        <v>106.92</v>
      </c>
      <c r="L96">
        <v>592.91999999999996</v>
      </c>
      <c r="M96" t="s">
        <v>543</v>
      </c>
      <c r="N96" t="s">
        <v>548</v>
      </c>
    </row>
    <row r="97" spans="1:14" x14ac:dyDescent="0.3">
      <c r="A97" t="s">
        <v>109</v>
      </c>
      <c r="B97" s="3">
        <v>45723</v>
      </c>
      <c r="C97" t="s">
        <v>522</v>
      </c>
      <c r="D97" t="s">
        <v>527</v>
      </c>
      <c r="E97" t="s">
        <v>540</v>
      </c>
      <c r="F97">
        <v>70</v>
      </c>
      <c r="G97">
        <v>70</v>
      </c>
      <c r="H97">
        <v>259</v>
      </c>
      <c r="I97">
        <v>18130</v>
      </c>
      <c r="J97">
        <v>0.22</v>
      </c>
      <c r="K97">
        <v>3988.6</v>
      </c>
      <c r="L97">
        <v>22118.6</v>
      </c>
      <c r="M97" t="s">
        <v>541</v>
      </c>
      <c r="N97" t="s">
        <v>550</v>
      </c>
    </row>
    <row r="98" spans="1:14" x14ac:dyDescent="0.3">
      <c r="A98" t="s">
        <v>110</v>
      </c>
      <c r="B98" s="3">
        <v>45650</v>
      </c>
      <c r="C98" t="s">
        <v>519</v>
      </c>
      <c r="D98" t="s">
        <v>529</v>
      </c>
      <c r="E98" t="s">
        <v>535</v>
      </c>
      <c r="F98">
        <v>27</v>
      </c>
      <c r="G98">
        <v>27</v>
      </c>
      <c r="H98">
        <v>196</v>
      </c>
      <c r="I98">
        <v>5292</v>
      </c>
      <c r="J98">
        <v>0</v>
      </c>
      <c r="K98">
        <v>0</v>
      </c>
      <c r="L98">
        <v>5292</v>
      </c>
      <c r="M98" t="s">
        <v>541</v>
      </c>
      <c r="N98" t="s">
        <v>550</v>
      </c>
    </row>
    <row r="99" spans="1:14" x14ac:dyDescent="0.3">
      <c r="A99" t="s">
        <v>111</v>
      </c>
      <c r="B99" s="3">
        <v>45323</v>
      </c>
      <c r="C99" t="s">
        <v>519</v>
      </c>
      <c r="D99" t="s">
        <v>525</v>
      </c>
      <c r="E99" t="s">
        <v>538</v>
      </c>
      <c r="F99">
        <v>60</v>
      </c>
      <c r="G99">
        <v>62</v>
      </c>
      <c r="H99">
        <v>224</v>
      </c>
      <c r="I99">
        <v>13888</v>
      </c>
      <c r="J99">
        <v>0.22</v>
      </c>
      <c r="K99">
        <v>3055.36</v>
      </c>
      <c r="L99">
        <v>16943.36</v>
      </c>
      <c r="M99" t="s">
        <v>542</v>
      </c>
      <c r="N99" t="s">
        <v>549</v>
      </c>
    </row>
    <row r="100" spans="1:14" x14ac:dyDescent="0.3">
      <c r="A100" t="s">
        <v>112</v>
      </c>
      <c r="B100" s="3">
        <v>45421</v>
      </c>
      <c r="C100" t="s">
        <v>517</v>
      </c>
      <c r="D100" t="s">
        <v>529</v>
      </c>
      <c r="E100" t="s">
        <v>535</v>
      </c>
      <c r="F100">
        <v>41</v>
      </c>
      <c r="G100">
        <v>51</v>
      </c>
      <c r="H100">
        <v>293</v>
      </c>
      <c r="I100">
        <v>14943</v>
      </c>
      <c r="J100">
        <v>0</v>
      </c>
      <c r="K100">
        <v>0</v>
      </c>
      <c r="L100">
        <v>14943</v>
      </c>
      <c r="M100" t="s">
        <v>541</v>
      </c>
      <c r="N100" t="s">
        <v>549</v>
      </c>
    </row>
    <row r="101" spans="1:14" x14ac:dyDescent="0.3">
      <c r="A101" t="s">
        <v>113</v>
      </c>
      <c r="B101" s="3">
        <v>45768</v>
      </c>
      <c r="C101" t="s">
        <v>522</v>
      </c>
      <c r="D101" t="s">
        <v>531</v>
      </c>
      <c r="E101" t="s">
        <v>534</v>
      </c>
      <c r="F101">
        <v>37</v>
      </c>
      <c r="G101">
        <v>44</v>
      </c>
      <c r="H101">
        <v>211</v>
      </c>
      <c r="I101">
        <v>9284</v>
      </c>
      <c r="J101">
        <v>0.22</v>
      </c>
      <c r="K101">
        <v>2042.48</v>
      </c>
      <c r="L101">
        <v>11326.48</v>
      </c>
      <c r="M101" t="s">
        <v>541</v>
      </c>
      <c r="N101" t="s">
        <v>544</v>
      </c>
    </row>
    <row r="102" spans="1:14" x14ac:dyDescent="0.3">
      <c r="A102" t="s">
        <v>114</v>
      </c>
      <c r="B102" s="3">
        <v>45459</v>
      </c>
      <c r="C102" t="s">
        <v>522</v>
      </c>
      <c r="D102" t="s">
        <v>527</v>
      </c>
      <c r="E102" t="s">
        <v>539</v>
      </c>
      <c r="F102">
        <v>64</v>
      </c>
      <c r="G102">
        <v>79</v>
      </c>
      <c r="H102">
        <v>118</v>
      </c>
      <c r="I102">
        <v>9322</v>
      </c>
      <c r="J102">
        <v>0.22</v>
      </c>
      <c r="K102">
        <v>2050.84</v>
      </c>
      <c r="L102">
        <v>11372.84</v>
      </c>
      <c r="M102" t="s">
        <v>543</v>
      </c>
      <c r="N102" t="s">
        <v>553</v>
      </c>
    </row>
    <row r="103" spans="1:14" x14ac:dyDescent="0.3">
      <c r="A103" t="s">
        <v>115</v>
      </c>
      <c r="B103" s="3">
        <v>45676</v>
      </c>
      <c r="C103" t="s">
        <v>515</v>
      </c>
      <c r="D103" t="s">
        <v>525</v>
      </c>
      <c r="E103" t="s">
        <v>535</v>
      </c>
      <c r="F103">
        <v>34</v>
      </c>
      <c r="G103">
        <v>32</v>
      </c>
      <c r="H103">
        <v>155</v>
      </c>
      <c r="I103">
        <v>4960</v>
      </c>
      <c r="J103">
        <v>0.22</v>
      </c>
      <c r="K103">
        <v>1091.2</v>
      </c>
      <c r="L103">
        <v>6051.2</v>
      </c>
      <c r="M103" t="s">
        <v>541</v>
      </c>
      <c r="N103" t="s">
        <v>549</v>
      </c>
    </row>
    <row r="104" spans="1:14" x14ac:dyDescent="0.3">
      <c r="A104" t="s">
        <v>116</v>
      </c>
      <c r="B104" s="3">
        <v>45396</v>
      </c>
      <c r="C104" t="s">
        <v>522</v>
      </c>
      <c r="D104" t="s">
        <v>529</v>
      </c>
      <c r="E104" t="s">
        <v>539</v>
      </c>
      <c r="F104">
        <v>48</v>
      </c>
      <c r="G104">
        <v>52</v>
      </c>
      <c r="H104">
        <v>172</v>
      </c>
      <c r="I104">
        <v>8944</v>
      </c>
      <c r="J104">
        <v>0</v>
      </c>
      <c r="K104">
        <v>0</v>
      </c>
      <c r="L104">
        <v>8944</v>
      </c>
      <c r="M104" t="s">
        <v>542</v>
      </c>
      <c r="N104" t="s">
        <v>553</v>
      </c>
    </row>
    <row r="105" spans="1:14" x14ac:dyDescent="0.3">
      <c r="A105" t="s">
        <v>117</v>
      </c>
      <c r="B105" s="3">
        <v>45334</v>
      </c>
      <c r="C105" t="s">
        <v>518</v>
      </c>
      <c r="D105" t="s">
        <v>528</v>
      </c>
      <c r="E105" t="s">
        <v>540</v>
      </c>
      <c r="F105">
        <v>62</v>
      </c>
      <c r="G105">
        <v>62</v>
      </c>
      <c r="H105">
        <v>300</v>
      </c>
      <c r="I105">
        <v>18600</v>
      </c>
      <c r="J105">
        <v>0.22</v>
      </c>
      <c r="K105">
        <v>4092</v>
      </c>
      <c r="L105">
        <v>22692</v>
      </c>
      <c r="M105" t="s">
        <v>542</v>
      </c>
      <c r="N105" t="s">
        <v>545</v>
      </c>
    </row>
    <row r="106" spans="1:14" x14ac:dyDescent="0.3">
      <c r="A106" t="s">
        <v>118</v>
      </c>
      <c r="B106" s="3">
        <v>45641</v>
      </c>
      <c r="C106" t="s">
        <v>514</v>
      </c>
      <c r="D106" t="s">
        <v>530</v>
      </c>
      <c r="E106" t="s">
        <v>538</v>
      </c>
      <c r="F106">
        <v>67</v>
      </c>
      <c r="G106">
        <v>58</v>
      </c>
      <c r="H106">
        <v>111</v>
      </c>
      <c r="I106">
        <v>6438</v>
      </c>
      <c r="J106">
        <v>0.22</v>
      </c>
      <c r="K106">
        <v>1416.36</v>
      </c>
      <c r="L106">
        <v>7854.36</v>
      </c>
      <c r="M106" t="s">
        <v>543</v>
      </c>
      <c r="N106" t="s">
        <v>551</v>
      </c>
    </row>
    <row r="107" spans="1:14" x14ac:dyDescent="0.3">
      <c r="A107" t="s">
        <v>119</v>
      </c>
      <c r="B107" s="3">
        <v>45762</v>
      </c>
      <c r="C107" t="s">
        <v>521</v>
      </c>
      <c r="D107" t="s">
        <v>530</v>
      </c>
      <c r="E107" t="s">
        <v>534</v>
      </c>
      <c r="F107">
        <v>11</v>
      </c>
      <c r="G107">
        <v>12</v>
      </c>
      <c r="H107">
        <v>98</v>
      </c>
      <c r="I107">
        <v>1176</v>
      </c>
      <c r="J107">
        <v>0.22</v>
      </c>
      <c r="K107">
        <v>258.72000000000003</v>
      </c>
      <c r="L107">
        <v>1434.72</v>
      </c>
      <c r="M107" t="s">
        <v>541</v>
      </c>
      <c r="N107" t="s">
        <v>548</v>
      </c>
    </row>
    <row r="108" spans="1:14" x14ac:dyDescent="0.3">
      <c r="A108" t="s">
        <v>120</v>
      </c>
      <c r="B108" s="3">
        <v>45787</v>
      </c>
      <c r="C108" t="s">
        <v>517</v>
      </c>
      <c r="D108" t="s">
        <v>530</v>
      </c>
      <c r="E108" t="s">
        <v>538</v>
      </c>
      <c r="F108">
        <v>2</v>
      </c>
      <c r="G108">
        <v>2</v>
      </c>
      <c r="H108">
        <v>190</v>
      </c>
      <c r="I108">
        <v>380</v>
      </c>
      <c r="J108">
        <v>0.22</v>
      </c>
      <c r="K108">
        <v>83.6</v>
      </c>
      <c r="L108">
        <v>463.6</v>
      </c>
      <c r="M108" t="s">
        <v>543</v>
      </c>
      <c r="N108" t="s">
        <v>551</v>
      </c>
    </row>
    <row r="109" spans="1:14" x14ac:dyDescent="0.3">
      <c r="A109" t="s">
        <v>121</v>
      </c>
      <c r="B109" s="3">
        <v>45543</v>
      </c>
      <c r="C109" t="s">
        <v>520</v>
      </c>
      <c r="D109" t="s">
        <v>523</v>
      </c>
      <c r="E109" t="s">
        <v>540</v>
      </c>
      <c r="F109">
        <v>62</v>
      </c>
      <c r="G109">
        <v>56</v>
      </c>
      <c r="H109">
        <v>140</v>
      </c>
      <c r="I109">
        <v>7840</v>
      </c>
      <c r="J109">
        <v>0.22</v>
      </c>
      <c r="K109">
        <v>1724.8</v>
      </c>
      <c r="L109">
        <v>9564.7999999999993</v>
      </c>
      <c r="M109" t="s">
        <v>543</v>
      </c>
      <c r="N109" t="s">
        <v>553</v>
      </c>
    </row>
    <row r="110" spans="1:14" x14ac:dyDescent="0.3">
      <c r="A110" t="s">
        <v>122</v>
      </c>
      <c r="B110" s="3">
        <v>45680</v>
      </c>
      <c r="C110" t="s">
        <v>518</v>
      </c>
      <c r="D110" t="s">
        <v>524</v>
      </c>
      <c r="E110" t="s">
        <v>540</v>
      </c>
      <c r="F110">
        <v>53</v>
      </c>
      <c r="G110">
        <v>59</v>
      </c>
      <c r="H110">
        <v>172</v>
      </c>
      <c r="I110">
        <v>10148</v>
      </c>
      <c r="J110">
        <v>0.1</v>
      </c>
      <c r="K110">
        <v>1014.8</v>
      </c>
      <c r="L110">
        <v>11162.8</v>
      </c>
      <c r="M110" t="s">
        <v>542</v>
      </c>
      <c r="N110" t="s">
        <v>552</v>
      </c>
    </row>
    <row r="111" spans="1:14" x14ac:dyDescent="0.3">
      <c r="A111" t="s">
        <v>123</v>
      </c>
      <c r="B111" s="3">
        <v>45509</v>
      </c>
      <c r="C111" t="s">
        <v>518</v>
      </c>
      <c r="D111" t="s">
        <v>523</v>
      </c>
      <c r="E111" t="s">
        <v>537</v>
      </c>
      <c r="F111">
        <v>2</v>
      </c>
      <c r="G111">
        <v>2</v>
      </c>
      <c r="H111">
        <v>189</v>
      </c>
      <c r="I111">
        <v>378</v>
      </c>
      <c r="J111">
        <v>0.22</v>
      </c>
      <c r="K111">
        <v>83.16</v>
      </c>
      <c r="L111">
        <v>461.16</v>
      </c>
      <c r="M111" t="s">
        <v>541</v>
      </c>
      <c r="N111" t="s">
        <v>548</v>
      </c>
    </row>
    <row r="112" spans="1:14" x14ac:dyDescent="0.3">
      <c r="A112" t="s">
        <v>124</v>
      </c>
      <c r="B112" s="3">
        <v>45302</v>
      </c>
      <c r="C112" t="s">
        <v>516</v>
      </c>
      <c r="D112" t="s">
        <v>525</v>
      </c>
      <c r="E112" t="s">
        <v>535</v>
      </c>
      <c r="F112">
        <v>49</v>
      </c>
      <c r="G112">
        <v>54</v>
      </c>
      <c r="H112">
        <v>146</v>
      </c>
      <c r="I112">
        <v>7884</v>
      </c>
      <c r="J112">
        <v>0.22</v>
      </c>
      <c r="K112">
        <v>1734.48</v>
      </c>
      <c r="L112">
        <v>9618.48</v>
      </c>
      <c r="M112" t="s">
        <v>543</v>
      </c>
      <c r="N112" t="s">
        <v>552</v>
      </c>
    </row>
    <row r="113" spans="1:14" x14ac:dyDescent="0.3">
      <c r="A113" t="s">
        <v>125</v>
      </c>
      <c r="B113" s="3">
        <v>45538</v>
      </c>
      <c r="C113" t="s">
        <v>517</v>
      </c>
      <c r="D113" t="s">
        <v>529</v>
      </c>
      <c r="E113" t="s">
        <v>536</v>
      </c>
      <c r="F113">
        <v>1</v>
      </c>
      <c r="G113">
        <v>1</v>
      </c>
      <c r="H113">
        <v>206</v>
      </c>
      <c r="I113">
        <v>206</v>
      </c>
      <c r="J113">
        <v>0</v>
      </c>
      <c r="K113">
        <v>0</v>
      </c>
      <c r="L113">
        <v>206</v>
      </c>
      <c r="M113" t="s">
        <v>543</v>
      </c>
      <c r="N113" t="s">
        <v>552</v>
      </c>
    </row>
    <row r="114" spans="1:14" x14ac:dyDescent="0.3">
      <c r="A114" t="s">
        <v>126</v>
      </c>
      <c r="B114" s="3">
        <v>45309</v>
      </c>
      <c r="C114" t="s">
        <v>520</v>
      </c>
      <c r="D114" t="s">
        <v>523</v>
      </c>
      <c r="E114" t="s">
        <v>534</v>
      </c>
      <c r="F114">
        <v>2</v>
      </c>
      <c r="G114">
        <v>2</v>
      </c>
      <c r="H114">
        <v>112</v>
      </c>
      <c r="I114">
        <v>224</v>
      </c>
      <c r="J114">
        <v>0.22</v>
      </c>
      <c r="K114">
        <v>49.28</v>
      </c>
      <c r="L114">
        <v>273.27999999999997</v>
      </c>
      <c r="M114" t="s">
        <v>542</v>
      </c>
      <c r="N114" t="s">
        <v>548</v>
      </c>
    </row>
    <row r="115" spans="1:14" x14ac:dyDescent="0.3">
      <c r="A115" t="s">
        <v>127</v>
      </c>
      <c r="B115" s="3">
        <v>45669</v>
      </c>
      <c r="C115" t="s">
        <v>517</v>
      </c>
      <c r="D115" t="s">
        <v>528</v>
      </c>
      <c r="E115" t="s">
        <v>539</v>
      </c>
      <c r="F115">
        <v>49</v>
      </c>
      <c r="G115">
        <v>44</v>
      </c>
      <c r="H115">
        <v>277</v>
      </c>
      <c r="I115">
        <v>12188</v>
      </c>
      <c r="J115">
        <v>0.22</v>
      </c>
      <c r="K115">
        <v>2681.36</v>
      </c>
      <c r="L115">
        <v>14869.36</v>
      </c>
      <c r="M115" t="s">
        <v>541</v>
      </c>
      <c r="N115" t="s">
        <v>545</v>
      </c>
    </row>
    <row r="116" spans="1:14" x14ac:dyDescent="0.3">
      <c r="A116" t="s">
        <v>128</v>
      </c>
      <c r="B116" s="3">
        <v>45630</v>
      </c>
      <c r="C116" t="s">
        <v>518</v>
      </c>
      <c r="D116" t="s">
        <v>533</v>
      </c>
      <c r="E116" t="s">
        <v>537</v>
      </c>
      <c r="F116">
        <v>34</v>
      </c>
      <c r="G116">
        <v>32</v>
      </c>
      <c r="H116">
        <v>257</v>
      </c>
      <c r="I116">
        <v>8224</v>
      </c>
      <c r="J116">
        <v>0.22</v>
      </c>
      <c r="K116">
        <v>1809.28</v>
      </c>
      <c r="L116">
        <v>10033.280000000001</v>
      </c>
      <c r="M116" t="s">
        <v>542</v>
      </c>
      <c r="N116" t="s">
        <v>544</v>
      </c>
    </row>
    <row r="117" spans="1:14" x14ac:dyDescent="0.3">
      <c r="A117" t="s">
        <v>129</v>
      </c>
      <c r="B117" s="3">
        <v>45489</v>
      </c>
      <c r="C117" t="s">
        <v>518</v>
      </c>
      <c r="D117" t="s">
        <v>527</v>
      </c>
      <c r="E117" t="s">
        <v>536</v>
      </c>
      <c r="F117">
        <v>37</v>
      </c>
      <c r="G117">
        <v>32</v>
      </c>
      <c r="H117">
        <v>127</v>
      </c>
      <c r="I117">
        <v>4064</v>
      </c>
      <c r="J117">
        <v>0.22</v>
      </c>
      <c r="K117">
        <v>894.08</v>
      </c>
      <c r="L117">
        <v>4958.08</v>
      </c>
      <c r="M117" t="s">
        <v>541</v>
      </c>
      <c r="N117" t="s">
        <v>547</v>
      </c>
    </row>
    <row r="118" spans="1:14" x14ac:dyDescent="0.3">
      <c r="A118" t="s">
        <v>130</v>
      </c>
      <c r="B118" s="3">
        <v>45488</v>
      </c>
      <c r="C118" t="s">
        <v>519</v>
      </c>
      <c r="D118" t="s">
        <v>533</v>
      </c>
      <c r="E118" t="s">
        <v>537</v>
      </c>
      <c r="F118">
        <v>62</v>
      </c>
      <c r="G118">
        <v>55</v>
      </c>
      <c r="H118">
        <v>262</v>
      </c>
      <c r="I118">
        <v>14410</v>
      </c>
      <c r="J118">
        <v>0.22</v>
      </c>
      <c r="K118">
        <v>3170.2</v>
      </c>
      <c r="L118">
        <v>17580.2</v>
      </c>
      <c r="M118" t="s">
        <v>541</v>
      </c>
      <c r="N118" t="s">
        <v>553</v>
      </c>
    </row>
    <row r="119" spans="1:14" x14ac:dyDescent="0.3">
      <c r="A119" t="s">
        <v>131</v>
      </c>
      <c r="B119" s="3">
        <v>45581</v>
      </c>
      <c r="C119" t="s">
        <v>520</v>
      </c>
      <c r="D119" t="s">
        <v>525</v>
      </c>
      <c r="E119" t="s">
        <v>537</v>
      </c>
      <c r="F119">
        <v>49</v>
      </c>
      <c r="G119">
        <v>56</v>
      </c>
      <c r="H119">
        <v>182</v>
      </c>
      <c r="I119">
        <v>10192</v>
      </c>
      <c r="J119">
        <v>0.22</v>
      </c>
      <c r="K119">
        <v>2242.2399999999998</v>
      </c>
      <c r="L119">
        <v>12434.24</v>
      </c>
      <c r="M119" t="s">
        <v>542</v>
      </c>
      <c r="N119" t="s">
        <v>548</v>
      </c>
    </row>
    <row r="120" spans="1:14" x14ac:dyDescent="0.3">
      <c r="A120" t="s">
        <v>132</v>
      </c>
      <c r="B120" s="3">
        <v>45306</v>
      </c>
      <c r="C120" t="s">
        <v>516</v>
      </c>
      <c r="D120" t="s">
        <v>532</v>
      </c>
      <c r="E120" t="s">
        <v>537</v>
      </c>
      <c r="F120">
        <v>20</v>
      </c>
      <c r="G120">
        <v>17</v>
      </c>
      <c r="H120">
        <v>97</v>
      </c>
      <c r="I120">
        <v>1649</v>
      </c>
      <c r="J120">
        <v>0.22</v>
      </c>
      <c r="K120">
        <v>362.78</v>
      </c>
      <c r="L120">
        <v>2011.78</v>
      </c>
      <c r="M120" t="s">
        <v>542</v>
      </c>
      <c r="N120" t="s">
        <v>545</v>
      </c>
    </row>
    <row r="121" spans="1:14" x14ac:dyDescent="0.3">
      <c r="A121" t="s">
        <v>133</v>
      </c>
      <c r="B121" s="3">
        <v>45591</v>
      </c>
      <c r="C121" t="s">
        <v>521</v>
      </c>
      <c r="D121" t="s">
        <v>529</v>
      </c>
      <c r="E121" t="s">
        <v>538</v>
      </c>
      <c r="F121">
        <v>24</v>
      </c>
      <c r="G121">
        <v>24</v>
      </c>
      <c r="H121">
        <v>128</v>
      </c>
      <c r="I121">
        <v>3072</v>
      </c>
      <c r="J121">
        <v>0</v>
      </c>
      <c r="K121">
        <v>0</v>
      </c>
      <c r="L121">
        <v>3072</v>
      </c>
      <c r="M121" t="s">
        <v>543</v>
      </c>
      <c r="N121" t="s">
        <v>544</v>
      </c>
    </row>
    <row r="122" spans="1:14" x14ac:dyDescent="0.3">
      <c r="A122" t="s">
        <v>134</v>
      </c>
      <c r="B122" s="3">
        <v>45304</v>
      </c>
      <c r="C122" t="s">
        <v>522</v>
      </c>
      <c r="D122" t="s">
        <v>533</v>
      </c>
      <c r="E122" t="s">
        <v>540</v>
      </c>
      <c r="F122">
        <v>79</v>
      </c>
      <c r="G122">
        <v>70</v>
      </c>
      <c r="H122">
        <v>273</v>
      </c>
      <c r="I122">
        <v>19110</v>
      </c>
      <c r="J122">
        <v>0.22</v>
      </c>
      <c r="K122">
        <v>4204.2</v>
      </c>
      <c r="L122">
        <v>23314.2</v>
      </c>
      <c r="M122" t="s">
        <v>542</v>
      </c>
      <c r="N122" t="s">
        <v>550</v>
      </c>
    </row>
    <row r="123" spans="1:14" x14ac:dyDescent="0.3">
      <c r="A123" t="s">
        <v>135</v>
      </c>
      <c r="B123" s="3">
        <v>45550</v>
      </c>
      <c r="C123" t="s">
        <v>517</v>
      </c>
      <c r="D123" t="s">
        <v>527</v>
      </c>
      <c r="E123" t="s">
        <v>538</v>
      </c>
      <c r="F123">
        <v>13</v>
      </c>
      <c r="G123">
        <v>11</v>
      </c>
      <c r="H123">
        <v>299</v>
      </c>
      <c r="I123">
        <v>3289</v>
      </c>
      <c r="J123">
        <v>0.22</v>
      </c>
      <c r="K123">
        <v>723.58</v>
      </c>
      <c r="L123">
        <v>4012.58</v>
      </c>
      <c r="M123" t="s">
        <v>543</v>
      </c>
      <c r="N123" t="s">
        <v>544</v>
      </c>
    </row>
    <row r="124" spans="1:14" x14ac:dyDescent="0.3">
      <c r="A124" t="s">
        <v>136</v>
      </c>
      <c r="B124" s="3">
        <v>45346</v>
      </c>
      <c r="C124" t="s">
        <v>521</v>
      </c>
      <c r="D124" t="s">
        <v>532</v>
      </c>
      <c r="E124" t="s">
        <v>538</v>
      </c>
      <c r="F124">
        <v>15</v>
      </c>
      <c r="G124">
        <v>16</v>
      </c>
      <c r="H124">
        <v>156</v>
      </c>
      <c r="I124">
        <v>2496</v>
      </c>
      <c r="J124">
        <v>0.22</v>
      </c>
      <c r="K124">
        <v>549.12</v>
      </c>
      <c r="L124">
        <v>3045.12</v>
      </c>
      <c r="M124" t="s">
        <v>543</v>
      </c>
      <c r="N124" t="s">
        <v>544</v>
      </c>
    </row>
    <row r="125" spans="1:14" x14ac:dyDescent="0.3">
      <c r="A125" t="s">
        <v>137</v>
      </c>
      <c r="B125" s="3">
        <v>45546</v>
      </c>
      <c r="C125" t="s">
        <v>520</v>
      </c>
      <c r="D125" t="s">
        <v>528</v>
      </c>
      <c r="E125" t="s">
        <v>538</v>
      </c>
      <c r="F125">
        <v>62</v>
      </c>
      <c r="G125">
        <v>73</v>
      </c>
      <c r="H125">
        <v>183</v>
      </c>
      <c r="I125">
        <v>13359</v>
      </c>
      <c r="J125">
        <v>0.22</v>
      </c>
      <c r="K125">
        <v>2938.98</v>
      </c>
      <c r="L125">
        <v>16297.98</v>
      </c>
      <c r="M125" t="s">
        <v>541</v>
      </c>
      <c r="N125" t="s">
        <v>553</v>
      </c>
    </row>
    <row r="126" spans="1:14" x14ac:dyDescent="0.3">
      <c r="A126" t="s">
        <v>138</v>
      </c>
      <c r="B126" s="3">
        <v>45523</v>
      </c>
      <c r="C126" t="s">
        <v>516</v>
      </c>
      <c r="D126" t="s">
        <v>530</v>
      </c>
      <c r="E126" t="s">
        <v>540</v>
      </c>
      <c r="F126">
        <v>53</v>
      </c>
      <c r="G126">
        <v>59</v>
      </c>
      <c r="H126">
        <v>129</v>
      </c>
      <c r="I126">
        <v>7611</v>
      </c>
      <c r="J126">
        <v>0.1</v>
      </c>
      <c r="K126">
        <v>761.1</v>
      </c>
      <c r="L126">
        <v>8372.1</v>
      </c>
      <c r="M126" t="s">
        <v>543</v>
      </c>
      <c r="N126" t="s">
        <v>553</v>
      </c>
    </row>
    <row r="127" spans="1:14" x14ac:dyDescent="0.3">
      <c r="A127" t="s">
        <v>139</v>
      </c>
      <c r="B127" s="3">
        <v>45731</v>
      </c>
      <c r="C127" t="s">
        <v>522</v>
      </c>
      <c r="D127" t="s">
        <v>526</v>
      </c>
      <c r="E127" t="s">
        <v>539</v>
      </c>
      <c r="F127">
        <v>78</v>
      </c>
      <c r="G127">
        <v>80</v>
      </c>
      <c r="H127">
        <v>152</v>
      </c>
      <c r="I127">
        <v>12160</v>
      </c>
      <c r="J127">
        <v>0</v>
      </c>
      <c r="K127">
        <v>0</v>
      </c>
      <c r="L127">
        <v>12160</v>
      </c>
      <c r="M127" t="s">
        <v>542</v>
      </c>
      <c r="N127" t="s">
        <v>553</v>
      </c>
    </row>
    <row r="128" spans="1:14" x14ac:dyDescent="0.3">
      <c r="A128" t="s">
        <v>140</v>
      </c>
      <c r="B128" s="3">
        <v>45393</v>
      </c>
      <c r="C128" t="s">
        <v>519</v>
      </c>
      <c r="D128" t="s">
        <v>529</v>
      </c>
      <c r="E128" t="s">
        <v>534</v>
      </c>
      <c r="F128">
        <v>3</v>
      </c>
      <c r="G128">
        <v>3</v>
      </c>
      <c r="H128">
        <v>207</v>
      </c>
      <c r="I128">
        <v>621</v>
      </c>
      <c r="J128">
        <v>0</v>
      </c>
      <c r="K128">
        <v>0</v>
      </c>
      <c r="L128">
        <v>621</v>
      </c>
      <c r="M128" t="s">
        <v>543</v>
      </c>
      <c r="N128" t="s">
        <v>544</v>
      </c>
    </row>
    <row r="129" spans="1:14" x14ac:dyDescent="0.3">
      <c r="A129" t="s">
        <v>141</v>
      </c>
      <c r="B129" s="3">
        <v>45452</v>
      </c>
      <c r="C129" t="s">
        <v>519</v>
      </c>
      <c r="D129" t="s">
        <v>532</v>
      </c>
      <c r="E129" t="s">
        <v>539</v>
      </c>
      <c r="F129">
        <v>68</v>
      </c>
      <c r="G129">
        <v>59</v>
      </c>
      <c r="H129">
        <v>223</v>
      </c>
      <c r="I129">
        <v>13157</v>
      </c>
      <c r="J129">
        <v>0.22</v>
      </c>
      <c r="K129">
        <v>2894.54</v>
      </c>
      <c r="L129">
        <v>16051.54</v>
      </c>
      <c r="M129" t="s">
        <v>542</v>
      </c>
      <c r="N129" t="s">
        <v>546</v>
      </c>
    </row>
    <row r="130" spans="1:14" x14ac:dyDescent="0.3">
      <c r="A130" t="s">
        <v>142</v>
      </c>
      <c r="B130" s="3">
        <v>45753</v>
      </c>
      <c r="C130" t="s">
        <v>517</v>
      </c>
      <c r="D130" t="s">
        <v>523</v>
      </c>
      <c r="E130" t="s">
        <v>535</v>
      </c>
      <c r="F130">
        <v>15</v>
      </c>
      <c r="G130">
        <v>19</v>
      </c>
      <c r="H130">
        <v>149</v>
      </c>
      <c r="I130">
        <v>2831</v>
      </c>
      <c r="J130">
        <v>0.22</v>
      </c>
      <c r="K130">
        <v>622.82000000000005</v>
      </c>
      <c r="L130">
        <v>3453.82</v>
      </c>
      <c r="M130" t="s">
        <v>541</v>
      </c>
      <c r="N130" t="s">
        <v>548</v>
      </c>
    </row>
    <row r="131" spans="1:14" x14ac:dyDescent="0.3">
      <c r="A131" t="s">
        <v>143</v>
      </c>
      <c r="B131" s="3">
        <v>45756</v>
      </c>
      <c r="C131" t="s">
        <v>520</v>
      </c>
      <c r="D131" t="s">
        <v>529</v>
      </c>
      <c r="E131" t="s">
        <v>534</v>
      </c>
      <c r="F131">
        <v>67</v>
      </c>
      <c r="G131">
        <v>67</v>
      </c>
      <c r="H131">
        <v>206</v>
      </c>
      <c r="I131">
        <v>13802</v>
      </c>
      <c r="J131">
        <v>0</v>
      </c>
      <c r="K131">
        <v>0</v>
      </c>
      <c r="L131">
        <v>13802</v>
      </c>
      <c r="M131" t="s">
        <v>543</v>
      </c>
      <c r="N131" t="s">
        <v>553</v>
      </c>
    </row>
    <row r="132" spans="1:14" x14ac:dyDescent="0.3">
      <c r="A132" t="s">
        <v>144</v>
      </c>
      <c r="B132" s="3">
        <v>45494</v>
      </c>
      <c r="C132" t="s">
        <v>515</v>
      </c>
      <c r="D132" t="s">
        <v>527</v>
      </c>
      <c r="E132" t="s">
        <v>539</v>
      </c>
      <c r="F132">
        <v>19</v>
      </c>
      <c r="G132">
        <v>20</v>
      </c>
      <c r="H132">
        <v>155</v>
      </c>
      <c r="I132">
        <v>3100</v>
      </c>
      <c r="J132">
        <v>0.22</v>
      </c>
      <c r="K132">
        <v>682</v>
      </c>
      <c r="L132">
        <v>3782</v>
      </c>
      <c r="M132" t="s">
        <v>542</v>
      </c>
      <c r="N132" t="s">
        <v>548</v>
      </c>
    </row>
    <row r="133" spans="1:14" x14ac:dyDescent="0.3">
      <c r="A133" t="s">
        <v>145</v>
      </c>
      <c r="B133" s="3">
        <v>45437</v>
      </c>
      <c r="C133" t="s">
        <v>520</v>
      </c>
      <c r="D133" t="s">
        <v>524</v>
      </c>
      <c r="E133" t="s">
        <v>534</v>
      </c>
      <c r="F133">
        <v>63</v>
      </c>
      <c r="G133">
        <v>71</v>
      </c>
      <c r="H133">
        <v>111</v>
      </c>
      <c r="I133">
        <v>7881</v>
      </c>
      <c r="J133">
        <v>0.22</v>
      </c>
      <c r="K133">
        <v>1733.82</v>
      </c>
      <c r="L133">
        <v>9614.82</v>
      </c>
      <c r="M133" t="s">
        <v>541</v>
      </c>
      <c r="N133" t="s">
        <v>553</v>
      </c>
    </row>
    <row r="134" spans="1:14" x14ac:dyDescent="0.3">
      <c r="A134" t="s">
        <v>146</v>
      </c>
      <c r="B134" s="3">
        <v>45587</v>
      </c>
      <c r="C134" t="s">
        <v>517</v>
      </c>
      <c r="D134" t="s">
        <v>527</v>
      </c>
      <c r="E134" t="s">
        <v>540</v>
      </c>
      <c r="F134">
        <v>28</v>
      </c>
      <c r="G134">
        <v>33</v>
      </c>
      <c r="H134">
        <v>227</v>
      </c>
      <c r="I134">
        <v>7491</v>
      </c>
      <c r="J134">
        <v>0.22</v>
      </c>
      <c r="K134">
        <v>1648.02</v>
      </c>
      <c r="L134">
        <v>9139.02</v>
      </c>
      <c r="M134" t="s">
        <v>541</v>
      </c>
      <c r="N134" t="s">
        <v>546</v>
      </c>
    </row>
    <row r="135" spans="1:14" x14ac:dyDescent="0.3">
      <c r="A135" t="s">
        <v>147</v>
      </c>
      <c r="B135" s="3">
        <v>45570</v>
      </c>
      <c r="C135" t="s">
        <v>516</v>
      </c>
      <c r="D135" t="s">
        <v>528</v>
      </c>
      <c r="E135" t="s">
        <v>540</v>
      </c>
      <c r="F135">
        <v>36</v>
      </c>
      <c r="G135">
        <v>39</v>
      </c>
      <c r="H135">
        <v>141</v>
      </c>
      <c r="I135">
        <v>5499</v>
      </c>
      <c r="J135">
        <v>0.22</v>
      </c>
      <c r="K135">
        <v>1209.78</v>
      </c>
      <c r="L135">
        <v>6708.78</v>
      </c>
      <c r="M135" t="s">
        <v>541</v>
      </c>
      <c r="N135" t="s">
        <v>550</v>
      </c>
    </row>
    <row r="136" spans="1:14" x14ac:dyDescent="0.3">
      <c r="A136" t="s">
        <v>148</v>
      </c>
      <c r="B136" s="3">
        <v>45734</v>
      </c>
      <c r="C136" t="s">
        <v>518</v>
      </c>
      <c r="D136" t="s">
        <v>526</v>
      </c>
      <c r="E136" t="s">
        <v>537</v>
      </c>
      <c r="F136">
        <v>1</v>
      </c>
      <c r="G136">
        <v>1</v>
      </c>
      <c r="H136">
        <v>70</v>
      </c>
      <c r="I136">
        <v>70</v>
      </c>
      <c r="J136">
        <v>0</v>
      </c>
      <c r="K136">
        <v>0</v>
      </c>
      <c r="L136">
        <v>70</v>
      </c>
      <c r="M136" t="s">
        <v>542</v>
      </c>
      <c r="N136" t="s">
        <v>544</v>
      </c>
    </row>
    <row r="137" spans="1:14" x14ac:dyDescent="0.3">
      <c r="A137" t="s">
        <v>149</v>
      </c>
      <c r="B137" s="3">
        <v>45526</v>
      </c>
      <c r="C137" t="s">
        <v>514</v>
      </c>
      <c r="D137" t="s">
        <v>529</v>
      </c>
      <c r="E137" t="s">
        <v>538</v>
      </c>
      <c r="F137">
        <v>53</v>
      </c>
      <c r="G137">
        <v>57</v>
      </c>
      <c r="H137">
        <v>276</v>
      </c>
      <c r="I137">
        <v>15732</v>
      </c>
      <c r="J137">
        <v>0</v>
      </c>
      <c r="K137">
        <v>0</v>
      </c>
      <c r="L137">
        <v>15732</v>
      </c>
      <c r="M137" t="s">
        <v>543</v>
      </c>
      <c r="N137" t="s">
        <v>553</v>
      </c>
    </row>
    <row r="138" spans="1:14" x14ac:dyDescent="0.3">
      <c r="A138" t="s">
        <v>150</v>
      </c>
      <c r="B138" s="3">
        <v>45333</v>
      </c>
      <c r="C138" t="s">
        <v>521</v>
      </c>
      <c r="D138" t="s">
        <v>533</v>
      </c>
      <c r="E138" t="s">
        <v>539</v>
      </c>
      <c r="F138">
        <v>50</v>
      </c>
      <c r="G138">
        <v>50</v>
      </c>
      <c r="H138">
        <v>210</v>
      </c>
      <c r="I138">
        <v>10500</v>
      </c>
      <c r="J138">
        <v>0.22</v>
      </c>
      <c r="K138">
        <v>2310</v>
      </c>
      <c r="L138">
        <v>12810</v>
      </c>
      <c r="M138" t="s">
        <v>543</v>
      </c>
      <c r="N138" t="s">
        <v>547</v>
      </c>
    </row>
    <row r="139" spans="1:14" x14ac:dyDescent="0.3">
      <c r="A139" t="s">
        <v>151</v>
      </c>
      <c r="B139" s="3">
        <v>45738</v>
      </c>
      <c r="C139" t="s">
        <v>517</v>
      </c>
      <c r="D139" t="s">
        <v>527</v>
      </c>
      <c r="E139" t="s">
        <v>540</v>
      </c>
      <c r="F139">
        <v>34</v>
      </c>
      <c r="G139">
        <v>31</v>
      </c>
      <c r="H139">
        <v>281</v>
      </c>
      <c r="I139">
        <v>8711</v>
      </c>
      <c r="J139">
        <v>0.22</v>
      </c>
      <c r="K139">
        <v>1916.42</v>
      </c>
      <c r="L139">
        <v>10627.42</v>
      </c>
      <c r="M139" t="s">
        <v>543</v>
      </c>
      <c r="N139" t="s">
        <v>551</v>
      </c>
    </row>
    <row r="140" spans="1:14" x14ac:dyDescent="0.3">
      <c r="A140" t="s">
        <v>152</v>
      </c>
      <c r="B140" s="3">
        <v>45399</v>
      </c>
      <c r="C140" t="s">
        <v>521</v>
      </c>
      <c r="D140" t="s">
        <v>531</v>
      </c>
      <c r="E140" t="s">
        <v>540</v>
      </c>
      <c r="F140">
        <v>40</v>
      </c>
      <c r="G140">
        <v>42</v>
      </c>
      <c r="H140">
        <v>158</v>
      </c>
      <c r="I140">
        <v>6636</v>
      </c>
      <c r="J140">
        <v>0.22</v>
      </c>
      <c r="K140">
        <v>1459.92</v>
      </c>
      <c r="L140">
        <v>8095.92</v>
      </c>
      <c r="M140" t="s">
        <v>543</v>
      </c>
      <c r="N140" t="s">
        <v>546</v>
      </c>
    </row>
    <row r="141" spans="1:14" x14ac:dyDescent="0.3">
      <c r="A141" t="s">
        <v>153</v>
      </c>
      <c r="B141" s="3">
        <v>45329</v>
      </c>
      <c r="C141" t="s">
        <v>517</v>
      </c>
      <c r="D141" t="s">
        <v>527</v>
      </c>
      <c r="E141" t="s">
        <v>537</v>
      </c>
      <c r="F141">
        <v>8</v>
      </c>
      <c r="G141">
        <v>7</v>
      </c>
      <c r="H141">
        <v>203</v>
      </c>
      <c r="I141">
        <v>1421</v>
      </c>
      <c r="J141">
        <v>0.22</v>
      </c>
      <c r="K141">
        <v>312.62</v>
      </c>
      <c r="L141">
        <v>1733.62</v>
      </c>
      <c r="M141" t="s">
        <v>542</v>
      </c>
      <c r="N141" t="s">
        <v>546</v>
      </c>
    </row>
    <row r="142" spans="1:14" x14ac:dyDescent="0.3">
      <c r="A142" t="s">
        <v>154</v>
      </c>
      <c r="B142" s="3">
        <v>45818</v>
      </c>
      <c r="C142" t="s">
        <v>514</v>
      </c>
      <c r="D142" t="s">
        <v>529</v>
      </c>
      <c r="E142" t="s">
        <v>538</v>
      </c>
      <c r="F142">
        <v>71</v>
      </c>
      <c r="G142">
        <v>60</v>
      </c>
      <c r="H142">
        <v>172</v>
      </c>
      <c r="I142">
        <v>10320</v>
      </c>
      <c r="J142">
        <v>0</v>
      </c>
      <c r="K142">
        <v>0</v>
      </c>
      <c r="L142">
        <v>10320</v>
      </c>
      <c r="M142" t="s">
        <v>541</v>
      </c>
      <c r="N142" t="s">
        <v>552</v>
      </c>
    </row>
    <row r="143" spans="1:14" x14ac:dyDescent="0.3">
      <c r="A143" t="s">
        <v>155</v>
      </c>
      <c r="B143" s="3">
        <v>45715</v>
      </c>
      <c r="C143" t="s">
        <v>514</v>
      </c>
      <c r="D143" t="s">
        <v>525</v>
      </c>
      <c r="E143" t="s">
        <v>539</v>
      </c>
      <c r="F143">
        <v>2</v>
      </c>
      <c r="G143">
        <v>2</v>
      </c>
      <c r="H143">
        <v>188</v>
      </c>
      <c r="I143">
        <v>376</v>
      </c>
      <c r="J143">
        <v>0.22</v>
      </c>
      <c r="K143">
        <v>82.72</v>
      </c>
      <c r="L143">
        <v>458.72</v>
      </c>
      <c r="M143" t="s">
        <v>543</v>
      </c>
      <c r="N143" t="s">
        <v>552</v>
      </c>
    </row>
    <row r="144" spans="1:14" x14ac:dyDescent="0.3">
      <c r="A144" t="s">
        <v>156</v>
      </c>
      <c r="B144" s="3">
        <v>45344</v>
      </c>
      <c r="C144" t="s">
        <v>519</v>
      </c>
      <c r="D144" t="s">
        <v>523</v>
      </c>
      <c r="E144" t="s">
        <v>539</v>
      </c>
      <c r="F144">
        <v>48</v>
      </c>
      <c r="G144">
        <v>48</v>
      </c>
      <c r="H144">
        <v>199</v>
      </c>
      <c r="I144">
        <v>9552</v>
      </c>
      <c r="J144">
        <v>0.22</v>
      </c>
      <c r="K144">
        <v>2101.44</v>
      </c>
      <c r="L144">
        <v>11653.44</v>
      </c>
      <c r="M144" t="s">
        <v>543</v>
      </c>
      <c r="N144" t="s">
        <v>552</v>
      </c>
    </row>
    <row r="145" spans="1:14" x14ac:dyDescent="0.3">
      <c r="A145" t="s">
        <v>157</v>
      </c>
      <c r="B145" s="3">
        <v>45788</v>
      </c>
      <c r="C145" t="s">
        <v>520</v>
      </c>
      <c r="D145" t="s">
        <v>524</v>
      </c>
      <c r="E145" t="s">
        <v>536</v>
      </c>
      <c r="F145">
        <v>64</v>
      </c>
      <c r="G145">
        <v>69</v>
      </c>
      <c r="H145">
        <v>96</v>
      </c>
      <c r="I145">
        <v>6624</v>
      </c>
      <c r="J145">
        <v>0.22</v>
      </c>
      <c r="K145">
        <v>1457.28</v>
      </c>
      <c r="L145">
        <v>8081.28</v>
      </c>
      <c r="M145" t="s">
        <v>542</v>
      </c>
      <c r="N145" t="s">
        <v>547</v>
      </c>
    </row>
    <row r="146" spans="1:14" x14ac:dyDescent="0.3">
      <c r="A146" t="s">
        <v>158</v>
      </c>
      <c r="B146" s="3">
        <v>45610</v>
      </c>
      <c r="C146" t="s">
        <v>516</v>
      </c>
      <c r="D146" t="s">
        <v>524</v>
      </c>
      <c r="E146" t="s">
        <v>539</v>
      </c>
      <c r="F146">
        <v>29</v>
      </c>
      <c r="G146">
        <v>32</v>
      </c>
      <c r="H146">
        <v>68</v>
      </c>
      <c r="I146">
        <v>2176</v>
      </c>
      <c r="J146">
        <v>0.22</v>
      </c>
      <c r="K146">
        <v>478.72</v>
      </c>
      <c r="L146">
        <v>2654.72</v>
      </c>
      <c r="M146" t="s">
        <v>542</v>
      </c>
      <c r="N146" t="s">
        <v>544</v>
      </c>
    </row>
    <row r="147" spans="1:14" x14ac:dyDescent="0.3">
      <c r="A147" t="s">
        <v>159</v>
      </c>
      <c r="B147" s="3">
        <v>45764</v>
      </c>
      <c r="C147" t="s">
        <v>520</v>
      </c>
      <c r="D147" t="s">
        <v>529</v>
      </c>
      <c r="E147" t="s">
        <v>538</v>
      </c>
      <c r="F147">
        <v>15</v>
      </c>
      <c r="G147">
        <v>19</v>
      </c>
      <c r="H147">
        <v>107</v>
      </c>
      <c r="I147">
        <v>2033</v>
      </c>
      <c r="J147">
        <v>0</v>
      </c>
      <c r="K147">
        <v>0</v>
      </c>
      <c r="L147">
        <v>2033</v>
      </c>
      <c r="M147" t="s">
        <v>542</v>
      </c>
      <c r="N147" t="s">
        <v>552</v>
      </c>
    </row>
    <row r="148" spans="1:14" x14ac:dyDescent="0.3">
      <c r="A148" t="s">
        <v>160</v>
      </c>
      <c r="B148" s="3">
        <v>45590</v>
      </c>
      <c r="C148" t="s">
        <v>516</v>
      </c>
      <c r="D148" t="s">
        <v>523</v>
      </c>
      <c r="E148" t="s">
        <v>540</v>
      </c>
      <c r="F148">
        <v>84</v>
      </c>
      <c r="G148">
        <v>80</v>
      </c>
      <c r="H148">
        <v>190</v>
      </c>
      <c r="I148">
        <v>15200</v>
      </c>
      <c r="J148">
        <v>0.22</v>
      </c>
      <c r="K148">
        <v>3344</v>
      </c>
      <c r="L148">
        <v>18544</v>
      </c>
      <c r="M148" t="s">
        <v>543</v>
      </c>
      <c r="N148" t="s">
        <v>549</v>
      </c>
    </row>
    <row r="149" spans="1:14" x14ac:dyDescent="0.3">
      <c r="A149" t="s">
        <v>161</v>
      </c>
      <c r="B149" s="3">
        <v>45759</v>
      </c>
      <c r="C149" t="s">
        <v>516</v>
      </c>
      <c r="D149" t="s">
        <v>532</v>
      </c>
      <c r="E149" t="s">
        <v>540</v>
      </c>
      <c r="F149">
        <v>20</v>
      </c>
      <c r="G149">
        <v>20</v>
      </c>
      <c r="H149">
        <v>211</v>
      </c>
      <c r="I149">
        <v>4220</v>
      </c>
      <c r="J149">
        <v>0.22</v>
      </c>
      <c r="K149">
        <v>928.4</v>
      </c>
      <c r="L149">
        <v>5148.3999999999996</v>
      </c>
      <c r="M149" t="s">
        <v>541</v>
      </c>
      <c r="N149" t="s">
        <v>545</v>
      </c>
    </row>
    <row r="150" spans="1:14" x14ac:dyDescent="0.3">
      <c r="A150" t="s">
        <v>162</v>
      </c>
      <c r="B150" s="3">
        <v>45431</v>
      </c>
      <c r="C150" t="s">
        <v>520</v>
      </c>
      <c r="D150" t="s">
        <v>523</v>
      </c>
      <c r="E150" t="s">
        <v>538</v>
      </c>
      <c r="F150">
        <v>44</v>
      </c>
      <c r="G150">
        <v>54</v>
      </c>
      <c r="H150">
        <v>179</v>
      </c>
      <c r="I150">
        <v>9666</v>
      </c>
      <c r="J150">
        <v>0.22</v>
      </c>
      <c r="K150">
        <v>2126.52</v>
      </c>
      <c r="L150">
        <v>11792.52</v>
      </c>
      <c r="M150" t="s">
        <v>543</v>
      </c>
      <c r="N150" t="s">
        <v>551</v>
      </c>
    </row>
    <row r="151" spans="1:14" x14ac:dyDescent="0.3">
      <c r="A151" t="s">
        <v>163</v>
      </c>
      <c r="B151" s="3">
        <v>45811</v>
      </c>
      <c r="C151" t="s">
        <v>522</v>
      </c>
      <c r="D151" t="s">
        <v>524</v>
      </c>
      <c r="E151" t="s">
        <v>537</v>
      </c>
      <c r="F151">
        <v>30</v>
      </c>
      <c r="G151">
        <v>33</v>
      </c>
      <c r="H151">
        <v>211</v>
      </c>
      <c r="I151">
        <v>6963</v>
      </c>
      <c r="J151">
        <v>0.22</v>
      </c>
      <c r="K151">
        <v>1531.86</v>
      </c>
      <c r="L151">
        <v>8494.86</v>
      </c>
      <c r="M151" t="s">
        <v>541</v>
      </c>
      <c r="N151" t="s">
        <v>553</v>
      </c>
    </row>
    <row r="152" spans="1:14" x14ac:dyDescent="0.3">
      <c r="A152" t="s">
        <v>164</v>
      </c>
      <c r="B152" s="3">
        <v>45793</v>
      </c>
      <c r="C152" t="s">
        <v>521</v>
      </c>
      <c r="D152" t="s">
        <v>533</v>
      </c>
      <c r="E152" t="s">
        <v>539</v>
      </c>
      <c r="F152">
        <v>87</v>
      </c>
      <c r="G152">
        <v>75</v>
      </c>
      <c r="H152">
        <v>172</v>
      </c>
      <c r="I152">
        <v>12900</v>
      </c>
      <c r="J152">
        <v>0.22</v>
      </c>
      <c r="K152">
        <v>2838</v>
      </c>
      <c r="L152">
        <v>15738</v>
      </c>
      <c r="M152" t="s">
        <v>543</v>
      </c>
      <c r="N152" t="s">
        <v>545</v>
      </c>
    </row>
    <row r="153" spans="1:14" x14ac:dyDescent="0.3">
      <c r="A153" t="s">
        <v>165</v>
      </c>
      <c r="B153" s="3">
        <v>45678</v>
      </c>
      <c r="C153" t="s">
        <v>517</v>
      </c>
      <c r="D153" t="s">
        <v>531</v>
      </c>
      <c r="E153" t="s">
        <v>538</v>
      </c>
      <c r="F153">
        <v>64</v>
      </c>
      <c r="G153">
        <v>72</v>
      </c>
      <c r="H153">
        <v>223</v>
      </c>
      <c r="I153">
        <v>16056</v>
      </c>
      <c r="J153">
        <v>0.22</v>
      </c>
      <c r="K153">
        <v>3532.32</v>
      </c>
      <c r="L153">
        <v>19588.32</v>
      </c>
      <c r="M153" t="s">
        <v>541</v>
      </c>
      <c r="N153" t="s">
        <v>549</v>
      </c>
    </row>
    <row r="154" spans="1:14" x14ac:dyDescent="0.3">
      <c r="A154" t="s">
        <v>166</v>
      </c>
      <c r="B154" s="3">
        <v>45684</v>
      </c>
      <c r="C154" t="s">
        <v>519</v>
      </c>
      <c r="D154" t="s">
        <v>530</v>
      </c>
      <c r="E154" t="s">
        <v>535</v>
      </c>
      <c r="F154">
        <v>33</v>
      </c>
      <c r="G154">
        <v>38</v>
      </c>
      <c r="H154">
        <v>163</v>
      </c>
      <c r="I154">
        <v>6194</v>
      </c>
      <c r="J154">
        <v>0.22</v>
      </c>
      <c r="K154">
        <v>1362.68</v>
      </c>
      <c r="L154">
        <v>7556.68</v>
      </c>
      <c r="M154" t="s">
        <v>543</v>
      </c>
      <c r="N154" t="s">
        <v>546</v>
      </c>
    </row>
    <row r="155" spans="1:14" x14ac:dyDescent="0.3">
      <c r="A155" t="s">
        <v>167</v>
      </c>
      <c r="B155" s="3">
        <v>45687</v>
      </c>
      <c r="C155" t="s">
        <v>521</v>
      </c>
      <c r="D155" t="s">
        <v>533</v>
      </c>
      <c r="E155" t="s">
        <v>535</v>
      </c>
      <c r="F155">
        <v>25</v>
      </c>
      <c r="G155">
        <v>25</v>
      </c>
      <c r="H155">
        <v>152</v>
      </c>
      <c r="I155">
        <v>3800</v>
      </c>
      <c r="J155">
        <v>0.22</v>
      </c>
      <c r="K155">
        <v>836</v>
      </c>
      <c r="L155">
        <v>4636</v>
      </c>
      <c r="M155" t="s">
        <v>541</v>
      </c>
      <c r="N155" t="s">
        <v>551</v>
      </c>
    </row>
    <row r="156" spans="1:14" x14ac:dyDescent="0.3">
      <c r="A156" t="s">
        <v>168</v>
      </c>
      <c r="B156" s="3">
        <v>45394</v>
      </c>
      <c r="C156" t="s">
        <v>517</v>
      </c>
      <c r="D156" t="s">
        <v>527</v>
      </c>
      <c r="E156" t="s">
        <v>539</v>
      </c>
      <c r="F156">
        <v>21</v>
      </c>
      <c r="G156">
        <v>18</v>
      </c>
      <c r="H156">
        <v>187</v>
      </c>
      <c r="I156">
        <v>3366</v>
      </c>
      <c r="J156">
        <v>0.1</v>
      </c>
      <c r="K156">
        <v>336.6</v>
      </c>
      <c r="L156">
        <v>3702.6</v>
      </c>
      <c r="M156" t="s">
        <v>542</v>
      </c>
      <c r="N156" t="s">
        <v>547</v>
      </c>
    </row>
    <row r="157" spans="1:14" x14ac:dyDescent="0.3">
      <c r="A157" t="s">
        <v>169</v>
      </c>
      <c r="B157" s="3">
        <v>45711</v>
      </c>
      <c r="C157" t="s">
        <v>521</v>
      </c>
      <c r="D157" t="s">
        <v>527</v>
      </c>
      <c r="E157" t="s">
        <v>540</v>
      </c>
      <c r="F157">
        <v>59</v>
      </c>
      <c r="G157">
        <v>66</v>
      </c>
      <c r="H157">
        <v>113</v>
      </c>
      <c r="I157">
        <v>7458</v>
      </c>
      <c r="J157">
        <v>0.22</v>
      </c>
      <c r="K157">
        <v>1640.76</v>
      </c>
      <c r="L157">
        <v>9098.76</v>
      </c>
      <c r="M157" t="s">
        <v>543</v>
      </c>
      <c r="N157" t="s">
        <v>551</v>
      </c>
    </row>
    <row r="158" spans="1:14" x14ac:dyDescent="0.3">
      <c r="A158" t="s">
        <v>170</v>
      </c>
      <c r="B158" s="3">
        <v>45699</v>
      </c>
      <c r="C158" t="s">
        <v>520</v>
      </c>
      <c r="D158" t="s">
        <v>531</v>
      </c>
      <c r="E158" t="s">
        <v>538</v>
      </c>
      <c r="F158">
        <v>37</v>
      </c>
      <c r="G158">
        <v>35</v>
      </c>
      <c r="H158">
        <v>267</v>
      </c>
      <c r="I158">
        <v>9345</v>
      </c>
      <c r="J158">
        <v>0.22</v>
      </c>
      <c r="K158">
        <v>2055.9</v>
      </c>
      <c r="L158">
        <v>11400.9</v>
      </c>
      <c r="M158" t="s">
        <v>541</v>
      </c>
      <c r="N158" t="s">
        <v>546</v>
      </c>
    </row>
    <row r="159" spans="1:14" x14ac:dyDescent="0.3">
      <c r="A159" t="s">
        <v>171</v>
      </c>
      <c r="B159" s="3">
        <v>45616</v>
      </c>
      <c r="C159" t="s">
        <v>517</v>
      </c>
      <c r="D159" t="s">
        <v>528</v>
      </c>
      <c r="E159" t="s">
        <v>535</v>
      </c>
      <c r="F159">
        <v>67</v>
      </c>
      <c r="G159">
        <v>61</v>
      </c>
      <c r="H159">
        <v>228</v>
      </c>
      <c r="I159">
        <v>13908</v>
      </c>
      <c r="J159">
        <v>0.22</v>
      </c>
      <c r="K159">
        <v>3059.76</v>
      </c>
      <c r="L159">
        <v>16967.759999999998</v>
      </c>
      <c r="M159" t="s">
        <v>542</v>
      </c>
      <c r="N159" t="s">
        <v>548</v>
      </c>
    </row>
    <row r="160" spans="1:14" x14ac:dyDescent="0.3">
      <c r="A160" t="s">
        <v>172</v>
      </c>
      <c r="B160" s="3">
        <v>45524</v>
      </c>
      <c r="C160" t="s">
        <v>520</v>
      </c>
      <c r="D160" t="s">
        <v>530</v>
      </c>
      <c r="E160" t="s">
        <v>535</v>
      </c>
      <c r="F160">
        <v>30</v>
      </c>
      <c r="G160">
        <v>33</v>
      </c>
      <c r="H160">
        <v>127</v>
      </c>
      <c r="I160">
        <v>4191</v>
      </c>
      <c r="J160">
        <v>0.22</v>
      </c>
      <c r="K160">
        <v>922.02</v>
      </c>
      <c r="L160">
        <v>5113.0200000000004</v>
      </c>
      <c r="M160" t="s">
        <v>541</v>
      </c>
      <c r="N160" t="s">
        <v>544</v>
      </c>
    </row>
    <row r="161" spans="1:14" x14ac:dyDescent="0.3">
      <c r="A161" t="s">
        <v>173</v>
      </c>
      <c r="B161" s="3">
        <v>45746</v>
      </c>
      <c r="C161" t="s">
        <v>521</v>
      </c>
      <c r="D161" t="s">
        <v>523</v>
      </c>
      <c r="E161" t="s">
        <v>535</v>
      </c>
      <c r="F161">
        <v>36</v>
      </c>
      <c r="G161">
        <v>33</v>
      </c>
      <c r="H161">
        <v>201</v>
      </c>
      <c r="I161">
        <v>6633</v>
      </c>
      <c r="J161">
        <v>0.22</v>
      </c>
      <c r="K161">
        <v>1459.26</v>
      </c>
      <c r="L161">
        <v>8092.26</v>
      </c>
      <c r="M161" t="s">
        <v>542</v>
      </c>
      <c r="N161" t="s">
        <v>548</v>
      </c>
    </row>
    <row r="162" spans="1:14" x14ac:dyDescent="0.3">
      <c r="A162" t="s">
        <v>174</v>
      </c>
      <c r="B162" s="3">
        <v>45659</v>
      </c>
      <c r="C162" t="s">
        <v>518</v>
      </c>
      <c r="D162" t="s">
        <v>530</v>
      </c>
      <c r="E162" t="s">
        <v>534</v>
      </c>
      <c r="F162">
        <v>20</v>
      </c>
      <c r="G162">
        <v>21</v>
      </c>
      <c r="H162">
        <v>107</v>
      </c>
      <c r="I162">
        <v>2247</v>
      </c>
      <c r="J162">
        <v>0.22</v>
      </c>
      <c r="K162">
        <v>494.34</v>
      </c>
      <c r="L162">
        <v>2741.34</v>
      </c>
      <c r="M162" t="s">
        <v>543</v>
      </c>
      <c r="N162" t="s">
        <v>553</v>
      </c>
    </row>
    <row r="163" spans="1:14" x14ac:dyDescent="0.3">
      <c r="A163" t="s">
        <v>175</v>
      </c>
      <c r="B163" s="3">
        <v>45476</v>
      </c>
      <c r="C163" t="s">
        <v>521</v>
      </c>
      <c r="D163" t="s">
        <v>532</v>
      </c>
      <c r="E163" t="s">
        <v>535</v>
      </c>
      <c r="F163">
        <v>21</v>
      </c>
      <c r="G163">
        <v>20</v>
      </c>
      <c r="H163">
        <v>187</v>
      </c>
      <c r="I163">
        <v>3740</v>
      </c>
      <c r="J163">
        <v>0.22</v>
      </c>
      <c r="K163">
        <v>822.8</v>
      </c>
      <c r="L163">
        <v>4562.8</v>
      </c>
      <c r="M163" t="s">
        <v>543</v>
      </c>
      <c r="N163" t="s">
        <v>553</v>
      </c>
    </row>
    <row r="164" spans="1:14" x14ac:dyDescent="0.3">
      <c r="A164" t="s">
        <v>176</v>
      </c>
      <c r="B164" s="3">
        <v>45538</v>
      </c>
      <c r="C164" t="s">
        <v>517</v>
      </c>
      <c r="D164" t="s">
        <v>526</v>
      </c>
      <c r="E164" t="s">
        <v>534</v>
      </c>
      <c r="F164">
        <v>8</v>
      </c>
      <c r="G164">
        <v>8</v>
      </c>
      <c r="H164">
        <v>194</v>
      </c>
      <c r="I164">
        <v>1552</v>
      </c>
      <c r="J164">
        <v>0</v>
      </c>
      <c r="K164">
        <v>0</v>
      </c>
      <c r="L164">
        <v>1552</v>
      </c>
      <c r="M164" t="s">
        <v>542</v>
      </c>
      <c r="N164" t="s">
        <v>552</v>
      </c>
    </row>
    <row r="165" spans="1:14" x14ac:dyDescent="0.3">
      <c r="A165" t="s">
        <v>177</v>
      </c>
      <c r="B165" s="3">
        <v>45552</v>
      </c>
      <c r="C165" t="s">
        <v>517</v>
      </c>
      <c r="D165" t="s">
        <v>523</v>
      </c>
      <c r="E165" t="s">
        <v>536</v>
      </c>
      <c r="F165">
        <v>68</v>
      </c>
      <c r="G165">
        <v>67</v>
      </c>
      <c r="H165">
        <v>204</v>
      </c>
      <c r="I165">
        <v>13668</v>
      </c>
      <c r="J165">
        <v>0.22</v>
      </c>
      <c r="K165">
        <v>3006.96</v>
      </c>
      <c r="L165">
        <v>16674.96</v>
      </c>
      <c r="M165" t="s">
        <v>543</v>
      </c>
      <c r="N165" t="s">
        <v>548</v>
      </c>
    </row>
    <row r="166" spans="1:14" x14ac:dyDescent="0.3">
      <c r="A166" t="s">
        <v>178</v>
      </c>
      <c r="B166" s="3">
        <v>45453</v>
      </c>
      <c r="C166" t="s">
        <v>520</v>
      </c>
      <c r="D166" t="s">
        <v>533</v>
      </c>
      <c r="E166" t="s">
        <v>537</v>
      </c>
      <c r="F166">
        <v>28</v>
      </c>
      <c r="G166">
        <v>33</v>
      </c>
      <c r="H166">
        <v>235</v>
      </c>
      <c r="I166">
        <v>7755</v>
      </c>
      <c r="J166">
        <v>0.1</v>
      </c>
      <c r="K166">
        <v>775.5</v>
      </c>
      <c r="L166">
        <v>8530.5</v>
      </c>
      <c r="M166" t="s">
        <v>543</v>
      </c>
      <c r="N166" t="s">
        <v>546</v>
      </c>
    </row>
    <row r="167" spans="1:14" x14ac:dyDescent="0.3">
      <c r="A167" t="s">
        <v>179</v>
      </c>
      <c r="B167" s="3">
        <v>45548</v>
      </c>
      <c r="C167" t="s">
        <v>517</v>
      </c>
      <c r="D167" t="s">
        <v>523</v>
      </c>
      <c r="E167" t="s">
        <v>534</v>
      </c>
      <c r="F167">
        <v>86</v>
      </c>
      <c r="G167">
        <v>76</v>
      </c>
      <c r="H167">
        <v>246</v>
      </c>
      <c r="I167">
        <v>18696</v>
      </c>
      <c r="J167">
        <v>0.1</v>
      </c>
      <c r="K167">
        <v>1869.6</v>
      </c>
      <c r="L167">
        <v>20565.599999999999</v>
      </c>
      <c r="M167" t="s">
        <v>543</v>
      </c>
      <c r="N167" t="s">
        <v>544</v>
      </c>
    </row>
    <row r="168" spans="1:14" x14ac:dyDescent="0.3">
      <c r="A168" t="s">
        <v>180</v>
      </c>
      <c r="B168" s="3">
        <v>45534</v>
      </c>
      <c r="C168" t="s">
        <v>515</v>
      </c>
      <c r="D168" t="s">
        <v>526</v>
      </c>
      <c r="E168" t="s">
        <v>537</v>
      </c>
      <c r="F168">
        <v>20</v>
      </c>
      <c r="G168">
        <v>22</v>
      </c>
      <c r="H168">
        <v>297</v>
      </c>
      <c r="I168">
        <v>6534</v>
      </c>
      <c r="J168">
        <v>0</v>
      </c>
      <c r="K168">
        <v>0</v>
      </c>
      <c r="L168">
        <v>6534</v>
      </c>
      <c r="M168" t="s">
        <v>541</v>
      </c>
      <c r="N168" t="s">
        <v>548</v>
      </c>
    </row>
    <row r="169" spans="1:14" x14ac:dyDescent="0.3">
      <c r="A169" t="s">
        <v>181</v>
      </c>
      <c r="B169" s="3">
        <v>45594</v>
      </c>
      <c r="C169" t="s">
        <v>514</v>
      </c>
      <c r="D169" t="s">
        <v>529</v>
      </c>
      <c r="E169" t="s">
        <v>540</v>
      </c>
      <c r="F169">
        <v>26</v>
      </c>
      <c r="G169">
        <v>30</v>
      </c>
      <c r="H169">
        <v>97</v>
      </c>
      <c r="I169">
        <v>2910</v>
      </c>
      <c r="J169">
        <v>0</v>
      </c>
      <c r="K169">
        <v>0</v>
      </c>
      <c r="L169">
        <v>2910</v>
      </c>
      <c r="M169" t="s">
        <v>543</v>
      </c>
      <c r="N169" t="s">
        <v>550</v>
      </c>
    </row>
    <row r="170" spans="1:14" x14ac:dyDescent="0.3">
      <c r="A170" t="s">
        <v>182</v>
      </c>
      <c r="B170" s="3">
        <v>45342</v>
      </c>
      <c r="C170" t="s">
        <v>517</v>
      </c>
      <c r="D170" t="s">
        <v>523</v>
      </c>
      <c r="E170" t="s">
        <v>538</v>
      </c>
      <c r="F170">
        <v>42</v>
      </c>
      <c r="G170">
        <v>51</v>
      </c>
      <c r="H170">
        <v>241</v>
      </c>
      <c r="I170">
        <v>12291</v>
      </c>
      <c r="J170">
        <v>0.22</v>
      </c>
      <c r="K170">
        <v>2704.02</v>
      </c>
      <c r="L170">
        <v>14995.02</v>
      </c>
      <c r="M170" t="s">
        <v>541</v>
      </c>
      <c r="N170" t="s">
        <v>551</v>
      </c>
    </row>
    <row r="171" spans="1:14" x14ac:dyDescent="0.3">
      <c r="A171" t="s">
        <v>183</v>
      </c>
      <c r="B171" s="3">
        <v>45516</v>
      </c>
      <c r="C171" t="s">
        <v>519</v>
      </c>
      <c r="D171" t="s">
        <v>526</v>
      </c>
      <c r="E171" t="s">
        <v>537</v>
      </c>
      <c r="F171">
        <v>8</v>
      </c>
      <c r="G171">
        <v>8</v>
      </c>
      <c r="H171">
        <v>86</v>
      </c>
      <c r="I171">
        <v>688</v>
      </c>
      <c r="J171">
        <v>0</v>
      </c>
      <c r="K171">
        <v>0</v>
      </c>
      <c r="L171">
        <v>688</v>
      </c>
      <c r="M171" t="s">
        <v>541</v>
      </c>
      <c r="N171" t="s">
        <v>547</v>
      </c>
    </row>
    <row r="172" spans="1:14" x14ac:dyDescent="0.3">
      <c r="A172" t="s">
        <v>184</v>
      </c>
      <c r="B172" s="3">
        <v>45391</v>
      </c>
      <c r="C172" t="s">
        <v>514</v>
      </c>
      <c r="D172" t="s">
        <v>523</v>
      </c>
      <c r="E172" t="s">
        <v>538</v>
      </c>
      <c r="F172">
        <v>29</v>
      </c>
      <c r="G172">
        <v>27</v>
      </c>
      <c r="H172">
        <v>285</v>
      </c>
      <c r="I172">
        <v>7695</v>
      </c>
      <c r="J172">
        <v>0.22</v>
      </c>
      <c r="K172">
        <v>1692.9</v>
      </c>
      <c r="L172">
        <v>9387.9</v>
      </c>
      <c r="M172" t="s">
        <v>541</v>
      </c>
      <c r="N172" t="s">
        <v>551</v>
      </c>
    </row>
    <row r="173" spans="1:14" x14ac:dyDescent="0.3">
      <c r="A173" t="s">
        <v>185</v>
      </c>
      <c r="B173" s="3">
        <v>45426</v>
      </c>
      <c r="C173" t="s">
        <v>520</v>
      </c>
      <c r="D173" t="s">
        <v>523</v>
      </c>
      <c r="E173" t="s">
        <v>537</v>
      </c>
      <c r="F173">
        <v>17</v>
      </c>
      <c r="G173">
        <v>21</v>
      </c>
      <c r="H173">
        <v>89</v>
      </c>
      <c r="I173">
        <v>1869</v>
      </c>
      <c r="J173">
        <v>0.22</v>
      </c>
      <c r="K173">
        <v>411.18</v>
      </c>
      <c r="L173">
        <v>2280.1799999999998</v>
      </c>
      <c r="M173" t="s">
        <v>542</v>
      </c>
      <c r="N173" t="s">
        <v>549</v>
      </c>
    </row>
    <row r="174" spans="1:14" x14ac:dyDescent="0.3">
      <c r="A174" t="s">
        <v>186</v>
      </c>
      <c r="B174" s="3">
        <v>45427</v>
      </c>
      <c r="C174" t="s">
        <v>516</v>
      </c>
      <c r="D174" t="s">
        <v>531</v>
      </c>
      <c r="E174" t="s">
        <v>539</v>
      </c>
      <c r="F174">
        <v>28</v>
      </c>
      <c r="G174">
        <v>28</v>
      </c>
      <c r="H174">
        <v>170</v>
      </c>
      <c r="I174">
        <v>4760</v>
      </c>
      <c r="J174">
        <v>0.22</v>
      </c>
      <c r="K174">
        <v>1047.2</v>
      </c>
      <c r="L174">
        <v>5807.2</v>
      </c>
      <c r="M174" t="s">
        <v>543</v>
      </c>
      <c r="N174" t="s">
        <v>547</v>
      </c>
    </row>
    <row r="175" spans="1:14" x14ac:dyDescent="0.3">
      <c r="A175" t="s">
        <v>187</v>
      </c>
      <c r="B175" s="3">
        <v>45555</v>
      </c>
      <c r="C175" t="s">
        <v>517</v>
      </c>
      <c r="D175" t="s">
        <v>523</v>
      </c>
      <c r="E175" t="s">
        <v>536</v>
      </c>
      <c r="F175">
        <v>57</v>
      </c>
      <c r="G175">
        <v>64</v>
      </c>
      <c r="H175">
        <v>284</v>
      </c>
      <c r="I175">
        <v>18176</v>
      </c>
      <c r="J175">
        <v>0.1</v>
      </c>
      <c r="K175">
        <v>1817.6</v>
      </c>
      <c r="L175">
        <v>19993.599999999999</v>
      </c>
      <c r="M175" t="s">
        <v>542</v>
      </c>
      <c r="N175" t="s">
        <v>552</v>
      </c>
    </row>
    <row r="176" spans="1:14" x14ac:dyDescent="0.3">
      <c r="A176" t="s">
        <v>188</v>
      </c>
      <c r="B176" s="3">
        <v>45369</v>
      </c>
      <c r="C176" t="s">
        <v>521</v>
      </c>
      <c r="D176" t="s">
        <v>525</v>
      </c>
      <c r="E176" t="s">
        <v>538</v>
      </c>
      <c r="F176">
        <v>73</v>
      </c>
      <c r="G176">
        <v>69</v>
      </c>
      <c r="H176">
        <v>120</v>
      </c>
      <c r="I176">
        <v>8280</v>
      </c>
      <c r="J176">
        <v>0.22</v>
      </c>
      <c r="K176">
        <v>1821.6</v>
      </c>
      <c r="L176">
        <v>10101.6</v>
      </c>
      <c r="M176" t="s">
        <v>541</v>
      </c>
      <c r="N176" t="s">
        <v>546</v>
      </c>
    </row>
    <row r="177" spans="1:14" x14ac:dyDescent="0.3">
      <c r="A177" t="s">
        <v>189</v>
      </c>
      <c r="B177" s="3">
        <v>45666</v>
      </c>
      <c r="C177" t="s">
        <v>520</v>
      </c>
      <c r="D177" t="s">
        <v>530</v>
      </c>
      <c r="E177" t="s">
        <v>535</v>
      </c>
      <c r="F177">
        <v>42</v>
      </c>
      <c r="G177">
        <v>48</v>
      </c>
      <c r="H177">
        <v>206</v>
      </c>
      <c r="I177">
        <v>9888</v>
      </c>
      <c r="J177">
        <v>0.22</v>
      </c>
      <c r="K177">
        <v>2175.36</v>
      </c>
      <c r="L177">
        <v>12063.36</v>
      </c>
      <c r="M177" t="s">
        <v>542</v>
      </c>
      <c r="N177" t="s">
        <v>552</v>
      </c>
    </row>
    <row r="178" spans="1:14" x14ac:dyDescent="0.3">
      <c r="A178" t="s">
        <v>190</v>
      </c>
      <c r="B178" s="3">
        <v>45669</v>
      </c>
      <c r="C178" t="s">
        <v>522</v>
      </c>
      <c r="D178" t="s">
        <v>526</v>
      </c>
      <c r="E178" t="s">
        <v>540</v>
      </c>
      <c r="F178">
        <v>4</v>
      </c>
      <c r="G178">
        <v>4</v>
      </c>
      <c r="H178">
        <v>94</v>
      </c>
      <c r="I178">
        <v>376</v>
      </c>
      <c r="J178">
        <v>0</v>
      </c>
      <c r="K178">
        <v>0</v>
      </c>
      <c r="L178">
        <v>376</v>
      </c>
      <c r="M178" t="s">
        <v>541</v>
      </c>
      <c r="N178" t="s">
        <v>551</v>
      </c>
    </row>
    <row r="179" spans="1:14" x14ac:dyDescent="0.3">
      <c r="A179" t="s">
        <v>191</v>
      </c>
      <c r="B179" s="3">
        <v>45402</v>
      </c>
      <c r="C179" t="s">
        <v>519</v>
      </c>
      <c r="D179" t="s">
        <v>533</v>
      </c>
      <c r="E179" t="s">
        <v>535</v>
      </c>
      <c r="F179">
        <v>61</v>
      </c>
      <c r="G179">
        <v>64</v>
      </c>
      <c r="H179">
        <v>108</v>
      </c>
      <c r="I179">
        <v>6912</v>
      </c>
      <c r="J179">
        <v>0.22</v>
      </c>
      <c r="K179">
        <v>1520.64</v>
      </c>
      <c r="L179">
        <v>8432.64</v>
      </c>
      <c r="M179" t="s">
        <v>541</v>
      </c>
      <c r="N179" t="s">
        <v>551</v>
      </c>
    </row>
    <row r="180" spans="1:14" x14ac:dyDescent="0.3">
      <c r="A180" t="s">
        <v>192</v>
      </c>
      <c r="B180" s="3">
        <v>45518</v>
      </c>
      <c r="C180" t="s">
        <v>520</v>
      </c>
      <c r="D180" t="s">
        <v>529</v>
      </c>
      <c r="E180" t="s">
        <v>538</v>
      </c>
      <c r="F180">
        <v>20</v>
      </c>
      <c r="G180">
        <v>17</v>
      </c>
      <c r="H180">
        <v>231</v>
      </c>
      <c r="I180">
        <v>3927</v>
      </c>
      <c r="J180">
        <v>0</v>
      </c>
      <c r="K180">
        <v>0</v>
      </c>
      <c r="L180">
        <v>3927</v>
      </c>
      <c r="M180" t="s">
        <v>543</v>
      </c>
      <c r="N180" t="s">
        <v>548</v>
      </c>
    </row>
    <row r="181" spans="1:14" x14ac:dyDescent="0.3">
      <c r="A181" t="s">
        <v>193</v>
      </c>
      <c r="B181" s="3">
        <v>45710</v>
      </c>
      <c r="C181" t="s">
        <v>520</v>
      </c>
      <c r="D181" t="s">
        <v>532</v>
      </c>
      <c r="E181" t="s">
        <v>535</v>
      </c>
      <c r="F181">
        <v>26</v>
      </c>
      <c r="G181">
        <v>30</v>
      </c>
      <c r="H181">
        <v>280</v>
      </c>
      <c r="I181">
        <v>8400</v>
      </c>
      <c r="J181">
        <v>0.1</v>
      </c>
      <c r="K181">
        <v>840</v>
      </c>
      <c r="L181">
        <v>9240</v>
      </c>
      <c r="M181" t="s">
        <v>543</v>
      </c>
      <c r="N181" t="s">
        <v>552</v>
      </c>
    </row>
    <row r="182" spans="1:14" x14ac:dyDescent="0.3">
      <c r="A182" t="s">
        <v>194</v>
      </c>
      <c r="B182" s="3">
        <v>45410</v>
      </c>
      <c r="C182" t="s">
        <v>520</v>
      </c>
      <c r="D182" t="s">
        <v>525</v>
      </c>
      <c r="E182" t="s">
        <v>539</v>
      </c>
      <c r="F182">
        <v>43</v>
      </c>
      <c r="G182">
        <v>46</v>
      </c>
      <c r="H182">
        <v>176</v>
      </c>
      <c r="I182">
        <v>8096</v>
      </c>
      <c r="J182">
        <v>0.22</v>
      </c>
      <c r="K182">
        <v>1781.12</v>
      </c>
      <c r="L182">
        <v>9877.119999999999</v>
      </c>
      <c r="M182" t="s">
        <v>543</v>
      </c>
      <c r="N182" t="s">
        <v>551</v>
      </c>
    </row>
    <row r="183" spans="1:14" x14ac:dyDescent="0.3">
      <c r="A183" t="s">
        <v>195</v>
      </c>
      <c r="B183" s="3">
        <v>45721</v>
      </c>
      <c r="C183" t="s">
        <v>521</v>
      </c>
      <c r="D183" t="s">
        <v>530</v>
      </c>
      <c r="E183" t="s">
        <v>536</v>
      </c>
      <c r="F183">
        <v>5</v>
      </c>
      <c r="G183">
        <v>6</v>
      </c>
      <c r="H183">
        <v>158</v>
      </c>
      <c r="I183">
        <v>948</v>
      </c>
      <c r="J183">
        <v>0.22</v>
      </c>
      <c r="K183">
        <v>208.56</v>
      </c>
      <c r="L183">
        <v>1156.56</v>
      </c>
      <c r="M183" t="s">
        <v>543</v>
      </c>
      <c r="N183" t="s">
        <v>553</v>
      </c>
    </row>
    <row r="184" spans="1:14" x14ac:dyDescent="0.3">
      <c r="A184" t="s">
        <v>196</v>
      </c>
      <c r="B184" s="3">
        <v>45709</v>
      </c>
      <c r="C184" t="s">
        <v>522</v>
      </c>
      <c r="D184" t="s">
        <v>524</v>
      </c>
      <c r="E184" t="s">
        <v>536</v>
      </c>
      <c r="F184">
        <v>43</v>
      </c>
      <c r="G184">
        <v>37</v>
      </c>
      <c r="H184">
        <v>83</v>
      </c>
      <c r="I184">
        <v>3071</v>
      </c>
      <c r="J184">
        <v>0.22</v>
      </c>
      <c r="K184">
        <v>675.62</v>
      </c>
      <c r="L184">
        <v>3746.62</v>
      </c>
      <c r="M184" t="s">
        <v>543</v>
      </c>
      <c r="N184" t="s">
        <v>552</v>
      </c>
    </row>
    <row r="185" spans="1:14" x14ac:dyDescent="0.3">
      <c r="A185" t="s">
        <v>197</v>
      </c>
      <c r="B185" s="3">
        <v>45533</v>
      </c>
      <c r="C185" t="s">
        <v>518</v>
      </c>
      <c r="D185" t="s">
        <v>527</v>
      </c>
      <c r="E185" t="s">
        <v>536</v>
      </c>
      <c r="F185">
        <v>53</v>
      </c>
      <c r="G185">
        <v>46</v>
      </c>
      <c r="H185">
        <v>240</v>
      </c>
      <c r="I185">
        <v>11040</v>
      </c>
      <c r="J185">
        <v>0.22</v>
      </c>
      <c r="K185">
        <v>2428.8000000000002</v>
      </c>
      <c r="L185">
        <v>13468.8</v>
      </c>
      <c r="M185" t="s">
        <v>541</v>
      </c>
      <c r="N185" t="s">
        <v>551</v>
      </c>
    </row>
    <row r="186" spans="1:14" x14ac:dyDescent="0.3">
      <c r="A186" t="s">
        <v>198</v>
      </c>
      <c r="B186" s="3">
        <v>45354</v>
      </c>
      <c r="C186" t="s">
        <v>515</v>
      </c>
      <c r="D186" t="s">
        <v>523</v>
      </c>
      <c r="E186" t="s">
        <v>534</v>
      </c>
      <c r="F186">
        <v>54</v>
      </c>
      <c r="G186">
        <v>60</v>
      </c>
      <c r="H186">
        <v>284</v>
      </c>
      <c r="I186">
        <v>17040</v>
      </c>
      <c r="J186">
        <v>0.1</v>
      </c>
      <c r="K186">
        <v>1704</v>
      </c>
      <c r="L186">
        <v>18744</v>
      </c>
      <c r="M186" t="s">
        <v>543</v>
      </c>
      <c r="N186" t="s">
        <v>544</v>
      </c>
    </row>
    <row r="187" spans="1:14" x14ac:dyDescent="0.3">
      <c r="A187" t="s">
        <v>199</v>
      </c>
      <c r="B187" s="3">
        <v>45509</v>
      </c>
      <c r="C187" t="s">
        <v>514</v>
      </c>
      <c r="D187" t="s">
        <v>524</v>
      </c>
      <c r="E187" t="s">
        <v>538</v>
      </c>
      <c r="F187">
        <v>67</v>
      </c>
      <c r="G187">
        <v>63</v>
      </c>
      <c r="H187">
        <v>272</v>
      </c>
      <c r="I187">
        <v>17136</v>
      </c>
      <c r="J187">
        <v>0.22</v>
      </c>
      <c r="K187">
        <v>3769.92</v>
      </c>
      <c r="L187">
        <v>20905.919999999998</v>
      </c>
      <c r="M187" t="s">
        <v>542</v>
      </c>
      <c r="N187" t="s">
        <v>553</v>
      </c>
    </row>
    <row r="188" spans="1:14" x14ac:dyDescent="0.3">
      <c r="A188" t="s">
        <v>200</v>
      </c>
      <c r="B188" s="3">
        <v>45502</v>
      </c>
      <c r="C188" t="s">
        <v>520</v>
      </c>
      <c r="D188" t="s">
        <v>528</v>
      </c>
      <c r="E188" t="s">
        <v>534</v>
      </c>
      <c r="F188">
        <v>36</v>
      </c>
      <c r="G188">
        <v>32</v>
      </c>
      <c r="H188">
        <v>274</v>
      </c>
      <c r="I188">
        <v>8768</v>
      </c>
      <c r="J188">
        <v>0.22</v>
      </c>
      <c r="K188">
        <v>1928.96</v>
      </c>
      <c r="L188">
        <v>10696.96</v>
      </c>
      <c r="M188" t="s">
        <v>542</v>
      </c>
      <c r="N188" t="s">
        <v>551</v>
      </c>
    </row>
    <row r="189" spans="1:14" x14ac:dyDescent="0.3">
      <c r="A189" t="s">
        <v>201</v>
      </c>
      <c r="B189" s="3">
        <v>45443</v>
      </c>
      <c r="C189" t="s">
        <v>514</v>
      </c>
      <c r="D189" t="s">
        <v>523</v>
      </c>
      <c r="E189" t="s">
        <v>538</v>
      </c>
      <c r="F189">
        <v>34</v>
      </c>
      <c r="G189">
        <v>33</v>
      </c>
      <c r="H189">
        <v>126</v>
      </c>
      <c r="I189">
        <v>4158</v>
      </c>
      <c r="J189">
        <v>0.1</v>
      </c>
      <c r="K189">
        <v>415.8</v>
      </c>
      <c r="L189">
        <v>4573.8</v>
      </c>
      <c r="M189" t="s">
        <v>542</v>
      </c>
      <c r="N189" t="s">
        <v>545</v>
      </c>
    </row>
    <row r="190" spans="1:14" x14ac:dyDescent="0.3">
      <c r="A190" t="s">
        <v>202</v>
      </c>
      <c r="B190" s="3">
        <v>45548</v>
      </c>
      <c r="C190" t="s">
        <v>521</v>
      </c>
      <c r="D190" t="s">
        <v>527</v>
      </c>
      <c r="E190" t="s">
        <v>536</v>
      </c>
      <c r="F190">
        <v>18</v>
      </c>
      <c r="G190">
        <v>18</v>
      </c>
      <c r="H190">
        <v>84</v>
      </c>
      <c r="I190">
        <v>1512</v>
      </c>
      <c r="J190">
        <v>0.1</v>
      </c>
      <c r="K190">
        <v>151.19999999999999</v>
      </c>
      <c r="L190">
        <v>1663.2</v>
      </c>
      <c r="M190" t="s">
        <v>542</v>
      </c>
      <c r="N190" t="s">
        <v>550</v>
      </c>
    </row>
    <row r="191" spans="1:14" x14ac:dyDescent="0.3">
      <c r="A191" t="s">
        <v>203</v>
      </c>
      <c r="B191" s="3">
        <v>45658</v>
      </c>
      <c r="C191" t="s">
        <v>519</v>
      </c>
      <c r="D191" t="s">
        <v>526</v>
      </c>
      <c r="E191" t="s">
        <v>537</v>
      </c>
      <c r="F191">
        <v>48</v>
      </c>
      <c r="G191">
        <v>54</v>
      </c>
      <c r="H191">
        <v>117</v>
      </c>
      <c r="I191">
        <v>6318</v>
      </c>
      <c r="J191">
        <v>0</v>
      </c>
      <c r="K191">
        <v>0</v>
      </c>
      <c r="L191">
        <v>6318</v>
      </c>
      <c r="M191" t="s">
        <v>542</v>
      </c>
      <c r="N191" t="s">
        <v>547</v>
      </c>
    </row>
    <row r="192" spans="1:14" x14ac:dyDescent="0.3">
      <c r="A192" t="s">
        <v>204</v>
      </c>
      <c r="B192" s="3">
        <v>45563</v>
      </c>
      <c r="C192" t="s">
        <v>514</v>
      </c>
      <c r="D192" t="s">
        <v>532</v>
      </c>
      <c r="E192" t="s">
        <v>536</v>
      </c>
      <c r="F192">
        <v>56</v>
      </c>
      <c r="G192">
        <v>67</v>
      </c>
      <c r="H192">
        <v>163</v>
      </c>
      <c r="I192">
        <v>10921</v>
      </c>
      <c r="J192">
        <v>0.22</v>
      </c>
      <c r="K192">
        <v>2402.62</v>
      </c>
      <c r="L192">
        <v>13323.62</v>
      </c>
      <c r="M192" t="s">
        <v>542</v>
      </c>
      <c r="N192" t="s">
        <v>544</v>
      </c>
    </row>
    <row r="193" spans="1:14" x14ac:dyDescent="0.3">
      <c r="A193" t="s">
        <v>205</v>
      </c>
      <c r="B193" s="3">
        <v>45779</v>
      </c>
      <c r="C193" t="s">
        <v>517</v>
      </c>
      <c r="D193" t="s">
        <v>531</v>
      </c>
      <c r="E193" t="s">
        <v>539</v>
      </c>
      <c r="F193">
        <v>53</v>
      </c>
      <c r="G193">
        <v>46</v>
      </c>
      <c r="H193">
        <v>83</v>
      </c>
      <c r="I193">
        <v>3818</v>
      </c>
      <c r="J193">
        <v>0.22</v>
      </c>
      <c r="K193">
        <v>839.96</v>
      </c>
      <c r="L193">
        <v>4657.96</v>
      </c>
      <c r="M193" t="s">
        <v>543</v>
      </c>
      <c r="N193" t="s">
        <v>545</v>
      </c>
    </row>
    <row r="194" spans="1:14" x14ac:dyDescent="0.3">
      <c r="A194" t="s">
        <v>206</v>
      </c>
      <c r="B194" s="3">
        <v>45518</v>
      </c>
      <c r="C194" t="s">
        <v>514</v>
      </c>
      <c r="D194" t="s">
        <v>529</v>
      </c>
      <c r="E194" t="s">
        <v>539</v>
      </c>
      <c r="F194">
        <v>37</v>
      </c>
      <c r="G194">
        <v>32</v>
      </c>
      <c r="H194">
        <v>234</v>
      </c>
      <c r="I194">
        <v>7488</v>
      </c>
      <c r="J194">
        <v>0</v>
      </c>
      <c r="K194">
        <v>0</v>
      </c>
      <c r="L194">
        <v>7488</v>
      </c>
      <c r="M194" t="s">
        <v>543</v>
      </c>
      <c r="N194" t="s">
        <v>552</v>
      </c>
    </row>
    <row r="195" spans="1:14" x14ac:dyDescent="0.3">
      <c r="A195" t="s">
        <v>207</v>
      </c>
      <c r="B195" s="3">
        <v>45323</v>
      </c>
      <c r="C195" t="s">
        <v>514</v>
      </c>
      <c r="D195" t="s">
        <v>533</v>
      </c>
      <c r="E195" t="s">
        <v>538</v>
      </c>
      <c r="F195">
        <v>24</v>
      </c>
      <c r="G195">
        <v>23</v>
      </c>
      <c r="H195">
        <v>253</v>
      </c>
      <c r="I195">
        <v>5819</v>
      </c>
      <c r="J195">
        <v>0.22</v>
      </c>
      <c r="K195">
        <v>1280.18</v>
      </c>
      <c r="L195">
        <v>7099.18</v>
      </c>
      <c r="M195" t="s">
        <v>541</v>
      </c>
      <c r="N195" t="s">
        <v>544</v>
      </c>
    </row>
    <row r="196" spans="1:14" x14ac:dyDescent="0.3">
      <c r="A196" t="s">
        <v>208</v>
      </c>
      <c r="B196" s="3">
        <v>45794</v>
      </c>
      <c r="C196" t="s">
        <v>517</v>
      </c>
      <c r="D196" t="s">
        <v>527</v>
      </c>
      <c r="E196" t="s">
        <v>535</v>
      </c>
      <c r="F196">
        <v>25</v>
      </c>
      <c r="G196">
        <v>27</v>
      </c>
      <c r="H196">
        <v>293</v>
      </c>
      <c r="I196">
        <v>7911</v>
      </c>
      <c r="J196">
        <v>0.22</v>
      </c>
      <c r="K196">
        <v>1740.42</v>
      </c>
      <c r="L196">
        <v>9651.42</v>
      </c>
      <c r="M196" t="s">
        <v>542</v>
      </c>
      <c r="N196" t="s">
        <v>544</v>
      </c>
    </row>
    <row r="197" spans="1:14" x14ac:dyDescent="0.3">
      <c r="A197" t="s">
        <v>209</v>
      </c>
      <c r="B197" s="3">
        <v>45421</v>
      </c>
      <c r="C197" t="s">
        <v>522</v>
      </c>
      <c r="D197" t="s">
        <v>526</v>
      </c>
      <c r="E197" t="s">
        <v>536</v>
      </c>
      <c r="F197">
        <v>2</v>
      </c>
      <c r="G197">
        <v>2</v>
      </c>
      <c r="H197">
        <v>277</v>
      </c>
      <c r="I197">
        <v>554</v>
      </c>
      <c r="J197">
        <v>0</v>
      </c>
      <c r="K197">
        <v>0</v>
      </c>
      <c r="L197">
        <v>554</v>
      </c>
      <c r="M197" t="s">
        <v>541</v>
      </c>
      <c r="N197" t="s">
        <v>545</v>
      </c>
    </row>
    <row r="198" spans="1:14" x14ac:dyDescent="0.3">
      <c r="A198" t="s">
        <v>210</v>
      </c>
      <c r="B198" s="3">
        <v>45624</v>
      </c>
      <c r="C198" t="s">
        <v>515</v>
      </c>
      <c r="D198" t="s">
        <v>526</v>
      </c>
      <c r="E198" t="s">
        <v>539</v>
      </c>
      <c r="F198">
        <v>19</v>
      </c>
      <c r="G198">
        <v>17</v>
      </c>
      <c r="H198">
        <v>163</v>
      </c>
      <c r="I198">
        <v>2771</v>
      </c>
      <c r="J198">
        <v>0</v>
      </c>
      <c r="K198">
        <v>0</v>
      </c>
      <c r="L198">
        <v>2771</v>
      </c>
      <c r="M198" t="s">
        <v>543</v>
      </c>
      <c r="N198" t="s">
        <v>552</v>
      </c>
    </row>
    <row r="199" spans="1:14" x14ac:dyDescent="0.3">
      <c r="A199" t="s">
        <v>211</v>
      </c>
      <c r="B199" s="3">
        <v>45809</v>
      </c>
      <c r="C199" t="s">
        <v>515</v>
      </c>
      <c r="D199" t="s">
        <v>527</v>
      </c>
      <c r="E199" t="s">
        <v>538</v>
      </c>
      <c r="F199">
        <v>38</v>
      </c>
      <c r="G199">
        <v>33</v>
      </c>
      <c r="H199">
        <v>196</v>
      </c>
      <c r="I199">
        <v>6468</v>
      </c>
      <c r="J199">
        <v>0.22</v>
      </c>
      <c r="K199">
        <v>1422.96</v>
      </c>
      <c r="L199">
        <v>7890.96</v>
      </c>
      <c r="M199" t="s">
        <v>541</v>
      </c>
      <c r="N199" t="s">
        <v>545</v>
      </c>
    </row>
    <row r="200" spans="1:14" x14ac:dyDescent="0.3">
      <c r="A200" t="s">
        <v>212</v>
      </c>
      <c r="B200" s="3">
        <v>45512</v>
      </c>
      <c r="C200" t="s">
        <v>515</v>
      </c>
      <c r="D200" t="s">
        <v>533</v>
      </c>
      <c r="E200" t="s">
        <v>534</v>
      </c>
      <c r="F200">
        <v>50</v>
      </c>
      <c r="G200">
        <v>43</v>
      </c>
      <c r="H200">
        <v>235</v>
      </c>
      <c r="I200">
        <v>10105</v>
      </c>
      <c r="J200">
        <v>0.22</v>
      </c>
      <c r="K200">
        <v>2223.1</v>
      </c>
      <c r="L200">
        <v>12328.1</v>
      </c>
      <c r="M200" t="s">
        <v>543</v>
      </c>
      <c r="N200" t="s">
        <v>546</v>
      </c>
    </row>
    <row r="201" spans="1:14" x14ac:dyDescent="0.3">
      <c r="A201" t="s">
        <v>213</v>
      </c>
      <c r="B201" s="3">
        <v>45717</v>
      </c>
      <c r="C201" t="s">
        <v>520</v>
      </c>
      <c r="D201" t="s">
        <v>531</v>
      </c>
      <c r="E201" t="s">
        <v>540</v>
      </c>
      <c r="F201">
        <v>43</v>
      </c>
      <c r="G201">
        <v>39</v>
      </c>
      <c r="H201">
        <v>280</v>
      </c>
      <c r="I201">
        <v>10920</v>
      </c>
      <c r="J201">
        <v>0.22</v>
      </c>
      <c r="K201">
        <v>2402.4</v>
      </c>
      <c r="L201">
        <v>13322.4</v>
      </c>
      <c r="M201" t="s">
        <v>543</v>
      </c>
      <c r="N201" t="s">
        <v>551</v>
      </c>
    </row>
    <row r="202" spans="1:14" x14ac:dyDescent="0.3">
      <c r="A202" t="s">
        <v>214</v>
      </c>
      <c r="B202" s="3">
        <v>45448</v>
      </c>
      <c r="C202" t="s">
        <v>517</v>
      </c>
      <c r="D202" t="s">
        <v>527</v>
      </c>
      <c r="E202" t="s">
        <v>535</v>
      </c>
      <c r="F202">
        <v>44</v>
      </c>
      <c r="G202">
        <v>42</v>
      </c>
      <c r="H202">
        <v>85</v>
      </c>
      <c r="I202">
        <v>3570</v>
      </c>
      <c r="J202">
        <v>0.22</v>
      </c>
      <c r="K202">
        <v>785.4</v>
      </c>
      <c r="L202">
        <v>4355.3999999999996</v>
      </c>
      <c r="M202" t="s">
        <v>542</v>
      </c>
      <c r="N202" t="s">
        <v>546</v>
      </c>
    </row>
    <row r="203" spans="1:14" x14ac:dyDescent="0.3">
      <c r="A203" t="s">
        <v>215</v>
      </c>
      <c r="B203" s="3">
        <v>45390</v>
      </c>
      <c r="C203" t="s">
        <v>518</v>
      </c>
      <c r="D203" t="s">
        <v>532</v>
      </c>
      <c r="E203" t="s">
        <v>539</v>
      </c>
      <c r="F203">
        <v>42</v>
      </c>
      <c r="G203">
        <v>50</v>
      </c>
      <c r="H203">
        <v>212</v>
      </c>
      <c r="I203">
        <v>10600</v>
      </c>
      <c r="J203">
        <v>0.22</v>
      </c>
      <c r="K203">
        <v>2332</v>
      </c>
      <c r="L203">
        <v>12932</v>
      </c>
      <c r="M203" t="s">
        <v>541</v>
      </c>
      <c r="N203" t="s">
        <v>545</v>
      </c>
    </row>
    <row r="204" spans="1:14" x14ac:dyDescent="0.3">
      <c r="A204" t="s">
        <v>216</v>
      </c>
      <c r="B204" s="3">
        <v>45629</v>
      </c>
      <c r="C204" t="s">
        <v>520</v>
      </c>
      <c r="D204" t="s">
        <v>530</v>
      </c>
      <c r="E204" t="s">
        <v>537</v>
      </c>
      <c r="F204">
        <v>21</v>
      </c>
      <c r="G204">
        <v>24</v>
      </c>
      <c r="H204">
        <v>72</v>
      </c>
      <c r="I204">
        <v>1728</v>
      </c>
      <c r="J204">
        <v>0.1</v>
      </c>
      <c r="K204">
        <v>172.8</v>
      </c>
      <c r="L204">
        <v>1900.8</v>
      </c>
      <c r="M204" t="s">
        <v>543</v>
      </c>
      <c r="N204" t="s">
        <v>550</v>
      </c>
    </row>
    <row r="205" spans="1:14" x14ac:dyDescent="0.3">
      <c r="A205" t="s">
        <v>217</v>
      </c>
      <c r="B205" s="3">
        <v>45586</v>
      </c>
      <c r="C205" t="s">
        <v>522</v>
      </c>
      <c r="D205" t="s">
        <v>531</v>
      </c>
      <c r="E205" t="s">
        <v>535</v>
      </c>
      <c r="F205">
        <v>70</v>
      </c>
      <c r="G205">
        <v>60</v>
      </c>
      <c r="H205">
        <v>194</v>
      </c>
      <c r="I205">
        <v>11640</v>
      </c>
      <c r="J205">
        <v>0.22</v>
      </c>
      <c r="K205">
        <v>2560.8000000000002</v>
      </c>
      <c r="L205">
        <v>14200.8</v>
      </c>
      <c r="M205" t="s">
        <v>542</v>
      </c>
      <c r="N205" t="s">
        <v>547</v>
      </c>
    </row>
    <row r="206" spans="1:14" x14ac:dyDescent="0.3">
      <c r="A206" t="s">
        <v>218</v>
      </c>
      <c r="B206" s="3">
        <v>45785</v>
      </c>
      <c r="C206" t="s">
        <v>519</v>
      </c>
      <c r="D206" t="s">
        <v>527</v>
      </c>
      <c r="E206" t="s">
        <v>537</v>
      </c>
      <c r="F206">
        <v>59</v>
      </c>
      <c r="G206">
        <v>57</v>
      </c>
      <c r="H206">
        <v>95</v>
      </c>
      <c r="I206">
        <v>5415</v>
      </c>
      <c r="J206">
        <v>0.22</v>
      </c>
      <c r="K206">
        <v>1191.3</v>
      </c>
      <c r="L206">
        <v>6606.3</v>
      </c>
      <c r="M206" t="s">
        <v>543</v>
      </c>
      <c r="N206" t="s">
        <v>544</v>
      </c>
    </row>
    <row r="207" spans="1:14" x14ac:dyDescent="0.3">
      <c r="A207" t="s">
        <v>219</v>
      </c>
      <c r="B207" s="3">
        <v>45577</v>
      </c>
      <c r="C207" t="s">
        <v>519</v>
      </c>
      <c r="D207" t="s">
        <v>530</v>
      </c>
      <c r="E207" t="s">
        <v>538</v>
      </c>
      <c r="F207">
        <v>36</v>
      </c>
      <c r="G207">
        <v>45</v>
      </c>
      <c r="H207">
        <v>79</v>
      </c>
      <c r="I207">
        <v>3555</v>
      </c>
      <c r="J207">
        <v>0.22</v>
      </c>
      <c r="K207">
        <v>782.1</v>
      </c>
      <c r="L207">
        <v>4337.1000000000004</v>
      </c>
      <c r="M207" t="s">
        <v>541</v>
      </c>
      <c r="N207" t="s">
        <v>553</v>
      </c>
    </row>
    <row r="208" spans="1:14" x14ac:dyDescent="0.3">
      <c r="A208" t="s">
        <v>220</v>
      </c>
      <c r="B208" s="3">
        <v>45318</v>
      </c>
      <c r="C208" t="s">
        <v>522</v>
      </c>
      <c r="D208" t="s">
        <v>524</v>
      </c>
      <c r="E208" t="s">
        <v>534</v>
      </c>
      <c r="F208">
        <v>55</v>
      </c>
      <c r="G208">
        <v>65</v>
      </c>
      <c r="H208">
        <v>67</v>
      </c>
      <c r="I208">
        <v>4355</v>
      </c>
      <c r="J208">
        <v>0.22</v>
      </c>
      <c r="K208">
        <v>958.1</v>
      </c>
      <c r="L208">
        <v>5313.1</v>
      </c>
      <c r="M208" t="s">
        <v>543</v>
      </c>
      <c r="N208" t="s">
        <v>551</v>
      </c>
    </row>
    <row r="209" spans="1:14" x14ac:dyDescent="0.3">
      <c r="A209" t="s">
        <v>221</v>
      </c>
      <c r="B209" s="3">
        <v>45651</v>
      </c>
      <c r="C209" t="s">
        <v>514</v>
      </c>
      <c r="D209" t="s">
        <v>532</v>
      </c>
      <c r="E209" t="s">
        <v>538</v>
      </c>
      <c r="F209">
        <v>17</v>
      </c>
      <c r="G209">
        <v>16</v>
      </c>
      <c r="H209">
        <v>201</v>
      </c>
      <c r="I209">
        <v>3216</v>
      </c>
      <c r="J209">
        <v>0.22</v>
      </c>
      <c r="K209">
        <v>707.52</v>
      </c>
      <c r="L209">
        <v>3923.52</v>
      </c>
      <c r="M209" t="s">
        <v>541</v>
      </c>
      <c r="N209" t="s">
        <v>546</v>
      </c>
    </row>
    <row r="210" spans="1:14" x14ac:dyDescent="0.3">
      <c r="A210" t="s">
        <v>222</v>
      </c>
      <c r="B210" s="3">
        <v>45363</v>
      </c>
      <c r="C210" t="s">
        <v>521</v>
      </c>
      <c r="D210" t="s">
        <v>529</v>
      </c>
      <c r="E210" t="s">
        <v>535</v>
      </c>
      <c r="F210">
        <v>61</v>
      </c>
      <c r="G210">
        <v>76</v>
      </c>
      <c r="H210">
        <v>174</v>
      </c>
      <c r="I210">
        <v>13224</v>
      </c>
      <c r="J210">
        <v>0</v>
      </c>
      <c r="K210">
        <v>0</v>
      </c>
      <c r="L210">
        <v>13224</v>
      </c>
      <c r="M210" t="s">
        <v>542</v>
      </c>
      <c r="N210" t="s">
        <v>545</v>
      </c>
    </row>
    <row r="211" spans="1:14" x14ac:dyDescent="0.3">
      <c r="A211" t="s">
        <v>223</v>
      </c>
      <c r="B211" s="3">
        <v>45512</v>
      </c>
      <c r="C211" t="s">
        <v>515</v>
      </c>
      <c r="D211" t="s">
        <v>530</v>
      </c>
      <c r="E211" t="s">
        <v>540</v>
      </c>
      <c r="F211">
        <v>13</v>
      </c>
      <c r="G211">
        <v>15</v>
      </c>
      <c r="H211">
        <v>151</v>
      </c>
      <c r="I211">
        <v>2265</v>
      </c>
      <c r="J211">
        <v>0.22</v>
      </c>
      <c r="K211">
        <v>498.3</v>
      </c>
      <c r="L211">
        <v>2763.3</v>
      </c>
      <c r="M211" t="s">
        <v>543</v>
      </c>
      <c r="N211" t="s">
        <v>548</v>
      </c>
    </row>
    <row r="212" spans="1:14" x14ac:dyDescent="0.3">
      <c r="A212" t="s">
        <v>224</v>
      </c>
      <c r="B212" s="3">
        <v>45624</v>
      </c>
      <c r="C212" t="s">
        <v>520</v>
      </c>
      <c r="D212" t="s">
        <v>524</v>
      </c>
      <c r="E212" t="s">
        <v>534</v>
      </c>
      <c r="F212">
        <v>67</v>
      </c>
      <c r="G212">
        <v>66</v>
      </c>
      <c r="H212">
        <v>91</v>
      </c>
      <c r="I212">
        <v>6006</v>
      </c>
      <c r="J212">
        <v>0.22</v>
      </c>
      <c r="K212">
        <v>1321.32</v>
      </c>
      <c r="L212">
        <v>7327.32</v>
      </c>
      <c r="M212" t="s">
        <v>541</v>
      </c>
      <c r="N212" t="s">
        <v>550</v>
      </c>
    </row>
    <row r="213" spans="1:14" x14ac:dyDescent="0.3">
      <c r="A213" t="s">
        <v>225</v>
      </c>
      <c r="B213" s="3">
        <v>45375</v>
      </c>
      <c r="C213" t="s">
        <v>522</v>
      </c>
      <c r="D213" t="s">
        <v>533</v>
      </c>
      <c r="E213" t="s">
        <v>536</v>
      </c>
      <c r="F213">
        <v>68</v>
      </c>
      <c r="G213">
        <v>63</v>
      </c>
      <c r="H213">
        <v>145</v>
      </c>
      <c r="I213">
        <v>9135</v>
      </c>
      <c r="J213">
        <v>0.22</v>
      </c>
      <c r="K213">
        <v>2009.7</v>
      </c>
      <c r="L213">
        <v>11144.7</v>
      </c>
      <c r="M213" t="s">
        <v>541</v>
      </c>
      <c r="N213" t="s">
        <v>552</v>
      </c>
    </row>
    <row r="214" spans="1:14" x14ac:dyDescent="0.3">
      <c r="A214" t="s">
        <v>226</v>
      </c>
      <c r="B214" s="3">
        <v>45716</v>
      </c>
      <c r="C214" t="s">
        <v>522</v>
      </c>
      <c r="D214" t="s">
        <v>525</v>
      </c>
      <c r="E214" t="s">
        <v>538</v>
      </c>
      <c r="F214">
        <v>54</v>
      </c>
      <c r="G214">
        <v>51</v>
      </c>
      <c r="H214">
        <v>212</v>
      </c>
      <c r="I214">
        <v>10812</v>
      </c>
      <c r="J214">
        <v>0.22</v>
      </c>
      <c r="K214">
        <v>2378.64</v>
      </c>
      <c r="L214">
        <v>13190.64</v>
      </c>
      <c r="M214" t="s">
        <v>543</v>
      </c>
      <c r="N214" t="s">
        <v>546</v>
      </c>
    </row>
    <row r="215" spans="1:14" x14ac:dyDescent="0.3">
      <c r="A215" t="s">
        <v>227</v>
      </c>
      <c r="B215" s="3">
        <v>45405</v>
      </c>
      <c r="C215" t="s">
        <v>522</v>
      </c>
      <c r="D215" t="s">
        <v>529</v>
      </c>
      <c r="E215" t="s">
        <v>536</v>
      </c>
      <c r="F215">
        <v>52</v>
      </c>
      <c r="G215">
        <v>58</v>
      </c>
      <c r="H215">
        <v>122</v>
      </c>
      <c r="I215">
        <v>7076</v>
      </c>
      <c r="J215">
        <v>0</v>
      </c>
      <c r="K215">
        <v>0</v>
      </c>
      <c r="L215">
        <v>7076</v>
      </c>
      <c r="M215" t="s">
        <v>541</v>
      </c>
      <c r="N215" t="s">
        <v>552</v>
      </c>
    </row>
    <row r="216" spans="1:14" x14ac:dyDescent="0.3">
      <c r="A216" t="s">
        <v>228</v>
      </c>
      <c r="B216" s="3">
        <v>45831</v>
      </c>
      <c r="C216" t="s">
        <v>522</v>
      </c>
      <c r="D216" t="s">
        <v>524</v>
      </c>
      <c r="E216" t="s">
        <v>534</v>
      </c>
      <c r="F216">
        <v>67</v>
      </c>
      <c r="G216">
        <v>62</v>
      </c>
      <c r="H216">
        <v>184</v>
      </c>
      <c r="I216">
        <v>11408</v>
      </c>
      <c r="J216">
        <v>0.22</v>
      </c>
      <c r="K216">
        <v>2509.7600000000002</v>
      </c>
      <c r="L216">
        <v>13917.76</v>
      </c>
      <c r="M216" t="s">
        <v>541</v>
      </c>
      <c r="N216" t="s">
        <v>550</v>
      </c>
    </row>
    <row r="217" spans="1:14" x14ac:dyDescent="0.3">
      <c r="A217" t="s">
        <v>229</v>
      </c>
      <c r="B217" s="3">
        <v>45299</v>
      </c>
      <c r="C217" t="s">
        <v>519</v>
      </c>
      <c r="D217" t="s">
        <v>523</v>
      </c>
      <c r="E217" t="s">
        <v>534</v>
      </c>
      <c r="F217">
        <v>20</v>
      </c>
      <c r="G217">
        <v>22</v>
      </c>
      <c r="H217">
        <v>117</v>
      </c>
      <c r="I217">
        <v>2574</v>
      </c>
      <c r="J217">
        <v>0.22</v>
      </c>
      <c r="K217">
        <v>566.28</v>
      </c>
      <c r="L217">
        <v>3140.28</v>
      </c>
      <c r="M217" t="s">
        <v>543</v>
      </c>
      <c r="N217" t="s">
        <v>548</v>
      </c>
    </row>
    <row r="218" spans="1:14" x14ac:dyDescent="0.3">
      <c r="A218" t="s">
        <v>230</v>
      </c>
      <c r="B218" s="3">
        <v>45627</v>
      </c>
      <c r="C218" t="s">
        <v>520</v>
      </c>
      <c r="D218" t="s">
        <v>524</v>
      </c>
      <c r="E218" t="s">
        <v>540</v>
      </c>
      <c r="F218">
        <v>54</v>
      </c>
      <c r="G218">
        <v>58</v>
      </c>
      <c r="H218">
        <v>145</v>
      </c>
      <c r="I218">
        <v>8410</v>
      </c>
      <c r="J218">
        <v>0.22</v>
      </c>
      <c r="K218">
        <v>1850.2</v>
      </c>
      <c r="L218">
        <v>10260.200000000001</v>
      </c>
      <c r="M218" t="s">
        <v>542</v>
      </c>
      <c r="N218" t="s">
        <v>547</v>
      </c>
    </row>
    <row r="219" spans="1:14" x14ac:dyDescent="0.3">
      <c r="A219" t="s">
        <v>231</v>
      </c>
      <c r="B219" s="3">
        <v>45681</v>
      </c>
      <c r="C219" t="s">
        <v>516</v>
      </c>
      <c r="D219" t="s">
        <v>525</v>
      </c>
      <c r="E219" t="s">
        <v>539</v>
      </c>
      <c r="F219">
        <v>54</v>
      </c>
      <c r="G219">
        <v>49</v>
      </c>
      <c r="H219">
        <v>239</v>
      </c>
      <c r="I219">
        <v>11711</v>
      </c>
      <c r="J219">
        <v>0.22</v>
      </c>
      <c r="K219">
        <v>2576.42</v>
      </c>
      <c r="L219">
        <v>14287.42</v>
      </c>
      <c r="M219" t="s">
        <v>541</v>
      </c>
      <c r="N219" t="s">
        <v>551</v>
      </c>
    </row>
    <row r="220" spans="1:14" x14ac:dyDescent="0.3">
      <c r="A220" t="s">
        <v>232</v>
      </c>
      <c r="B220" s="3">
        <v>45365</v>
      </c>
      <c r="C220" t="s">
        <v>515</v>
      </c>
      <c r="D220" t="s">
        <v>524</v>
      </c>
      <c r="E220" t="s">
        <v>540</v>
      </c>
      <c r="F220">
        <v>45</v>
      </c>
      <c r="G220">
        <v>42</v>
      </c>
      <c r="H220">
        <v>129</v>
      </c>
      <c r="I220">
        <v>5418</v>
      </c>
      <c r="J220">
        <v>0.22</v>
      </c>
      <c r="K220">
        <v>1191.96</v>
      </c>
      <c r="L220">
        <v>6609.96</v>
      </c>
      <c r="M220" t="s">
        <v>542</v>
      </c>
      <c r="N220" t="s">
        <v>551</v>
      </c>
    </row>
    <row r="221" spans="1:14" x14ac:dyDescent="0.3">
      <c r="A221" t="s">
        <v>233</v>
      </c>
      <c r="B221" s="3">
        <v>45731</v>
      </c>
      <c r="C221" t="s">
        <v>515</v>
      </c>
      <c r="D221" t="s">
        <v>529</v>
      </c>
      <c r="E221" t="s">
        <v>540</v>
      </c>
      <c r="F221">
        <v>17</v>
      </c>
      <c r="G221">
        <v>15</v>
      </c>
      <c r="H221">
        <v>113</v>
      </c>
      <c r="I221">
        <v>1695</v>
      </c>
      <c r="J221">
        <v>0</v>
      </c>
      <c r="K221">
        <v>0</v>
      </c>
      <c r="L221">
        <v>1695</v>
      </c>
      <c r="M221" t="s">
        <v>543</v>
      </c>
      <c r="N221" t="s">
        <v>544</v>
      </c>
    </row>
    <row r="222" spans="1:14" x14ac:dyDescent="0.3">
      <c r="A222" t="s">
        <v>234</v>
      </c>
      <c r="B222" s="3">
        <v>45706</v>
      </c>
      <c r="C222" t="s">
        <v>514</v>
      </c>
      <c r="D222" t="s">
        <v>531</v>
      </c>
      <c r="E222" t="s">
        <v>534</v>
      </c>
      <c r="F222">
        <v>64</v>
      </c>
      <c r="G222">
        <v>60</v>
      </c>
      <c r="H222">
        <v>160</v>
      </c>
      <c r="I222">
        <v>9600</v>
      </c>
      <c r="J222">
        <v>0.22</v>
      </c>
      <c r="K222">
        <v>2112</v>
      </c>
      <c r="L222">
        <v>11712</v>
      </c>
      <c r="M222" t="s">
        <v>541</v>
      </c>
      <c r="N222" t="s">
        <v>552</v>
      </c>
    </row>
    <row r="223" spans="1:14" x14ac:dyDescent="0.3">
      <c r="A223" t="s">
        <v>235</v>
      </c>
      <c r="B223" s="3">
        <v>45662</v>
      </c>
      <c r="C223" t="s">
        <v>520</v>
      </c>
      <c r="D223" t="s">
        <v>530</v>
      </c>
      <c r="E223" t="s">
        <v>538</v>
      </c>
      <c r="F223">
        <v>8</v>
      </c>
      <c r="G223">
        <v>8</v>
      </c>
      <c r="H223">
        <v>112</v>
      </c>
      <c r="I223">
        <v>896</v>
      </c>
      <c r="J223">
        <v>0.22</v>
      </c>
      <c r="K223">
        <v>197.12</v>
      </c>
      <c r="L223">
        <v>1093.1199999999999</v>
      </c>
      <c r="M223" t="s">
        <v>543</v>
      </c>
      <c r="N223" t="s">
        <v>553</v>
      </c>
    </row>
    <row r="224" spans="1:14" x14ac:dyDescent="0.3">
      <c r="A224" t="s">
        <v>236</v>
      </c>
      <c r="B224" s="3">
        <v>45702</v>
      </c>
      <c r="C224" t="s">
        <v>516</v>
      </c>
      <c r="D224" t="s">
        <v>527</v>
      </c>
      <c r="E224" t="s">
        <v>540</v>
      </c>
      <c r="F224">
        <v>50</v>
      </c>
      <c r="G224">
        <v>60</v>
      </c>
      <c r="H224">
        <v>295</v>
      </c>
      <c r="I224">
        <v>17700</v>
      </c>
      <c r="J224">
        <v>0.1</v>
      </c>
      <c r="K224">
        <v>1770</v>
      </c>
      <c r="L224">
        <v>19470</v>
      </c>
      <c r="M224" t="s">
        <v>541</v>
      </c>
      <c r="N224" t="s">
        <v>551</v>
      </c>
    </row>
    <row r="225" spans="1:14" x14ac:dyDescent="0.3">
      <c r="A225" t="s">
        <v>237</v>
      </c>
      <c r="B225" s="3">
        <v>45518</v>
      </c>
      <c r="C225" t="s">
        <v>518</v>
      </c>
      <c r="D225" t="s">
        <v>532</v>
      </c>
      <c r="E225" t="s">
        <v>535</v>
      </c>
      <c r="F225">
        <v>5</v>
      </c>
      <c r="G225">
        <v>5</v>
      </c>
      <c r="H225">
        <v>162</v>
      </c>
      <c r="I225">
        <v>810</v>
      </c>
      <c r="J225">
        <v>0.22</v>
      </c>
      <c r="K225">
        <v>178.2</v>
      </c>
      <c r="L225">
        <v>988.2</v>
      </c>
      <c r="M225" t="s">
        <v>542</v>
      </c>
      <c r="N225" t="s">
        <v>545</v>
      </c>
    </row>
    <row r="226" spans="1:14" x14ac:dyDescent="0.3">
      <c r="A226" t="s">
        <v>238</v>
      </c>
      <c r="B226" s="3">
        <v>45814</v>
      </c>
      <c r="C226" t="s">
        <v>519</v>
      </c>
      <c r="D226" t="s">
        <v>531</v>
      </c>
      <c r="E226" t="s">
        <v>537</v>
      </c>
      <c r="F226">
        <v>62</v>
      </c>
      <c r="G226">
        <v>68</v>
      </c>
      <c r="H226">
        <v>65</v>
      </c>
      <c r="I226">
        <v>4420</v>
      </c>
      <c r="J226">
        <v>0.22</v>
      </c>
      <c r="K226">
        <v>972.4</v>
      </c>
      <c r="L226">
        <v>5392.4</v>
      </c>
      <c r="M226" t="s">
        <v>541</v>
      </c>
      <c r="N226" t="s">
        <v>547</v>
      </c>
    </row>
    <row r="227" spans="1:14" x14ac:dyDescent="0.3">
      <c r="A227" t="s">
        <v>239</v>
      </c>
      <c r="B227" s="3">
        <v>45533</v>
      </c>
      <c r="C227" t="s">
        <v>520</v>
      </c>
      <c r="D227" t="s">
        <v>532</v>
      </c>
      <c r="E227" t="s">
        <v>537</v>
      </c>
      <c r="F227">
        <v>42</v>
      </c>
      <c r="G227">
        <v>47</v>
      </c>
      <c r="H227">
        <v>158</v>
      </c>
      <c r="I227">
        <v>7426</v>
      </c>
      <c r="J227">
        <v>0.22</v>
      </c>
      <c r="K227">
        <v>1633.72</v>
      </c>
      <c r="L227">
        <v>9059.7199999999993</v>
      </c>
      <c r="M227" t="s">
        <v>541</v>
      </c>
      <c r="N227" t="s">
        <v>547</v>
      </c>
    </row>
    <row r="228" spans="1:14" x14ac:dyDescent="0.3">
      <c r="A228" t="s">
        <v>240</v>
      </c>
      <c r="B228" s="3">
        <v>45369</v>
      </c>
      <c r="C228" t="s">
        <v>521</v>
      </c>
      <c r="D228" t="s">
        <v>529</v>
      </c>
      <c r="E228" t="s">
        <v>540</v>
      </c>
      <c r="F228">
        <v>65</v>
      </c>
      <c r="G228">
        <v>55</v>
      </c>
      <c r="H228">
        <v>227</v>
      </c>
      <c r="I228">
        <v>12485</v>
      </c>
      <c r="J228">
        <v>0</v>
      </c>
      <c r="K228">
        <v>0</v>
      </c>
      <c r="L228">
        <v>12485</v>
      </c>
      <c r="M228" t="s">
        <v>543</v>
      </c>
      <c r="N228" t="s">
        <v>553</v>
      </c>
    </row>
    <row r="229" spans="1:14" x14ac:dyDescent="0.3">
      <c r="A229" t="s">
        <v>241</v>
      </c>
      <c r="B229" s="3">
        <v>45751</v>
      </c>
      <c r="C229" t="s">
        <v>518</v>
      </c>
      <c r="D229" t="s">
        <v>529</v>
      </c>
      <c r="E229" t="s">
        <v>537</v>
      </c>
      <c r="F229">
        <v>50</v>
      </c>
      <c r="G229">
        <v>52</v>
      </c>
      <c r="H229">
        <v>203</v>
      </c>
      <c r="I229">
        <v>10556</v>
      </c>
      <c r="J229">
        <v>0</v>
      </c>
      <c r="K229">
        <v>0</v>
      </c>
      <c r="L229">
        <v>10556</v>
      </c>
      <c r="M229" t="s">
        <v>542</v>
      </c>
      <c r="N229" t="s">
        <v>552</v>
      </c>
    </row>
    <row r="230" spans="1:14" x14ac:dyDescent="0.3">
      <c r="A230" t="s">
        <v>242</v>
      </c>
      <c r="B230" s="3">
        <v>45361</v>
      </c>
      <c r="C230" t="s">
        <v>517</v>
      </c>
      <c r="D230" t="s">
        <v>533</v>
      </c>
      <c r="E230" t="s">
        <v>536</v>
      </c>
      <c r="F230">
        <v>15</v>
      </c>
      <c r="G230">
        <v>13</v>
      </c>
      <c r="H230">
        <v>173</v>
      </c>
      <c r="I230">
        <v>2249</v>
      </c>
      <c r="J230">
        <v>0.22</v>
      </c>
      <c r="K230">
        <v>494.78</v>
      </c>
      <c r="L230">
        <v>2743.78</v>
      </c>
      <c r="M230" t="s">
        <v>543</v>
      </c>
      <c r="N230" t="s">
        <v>553</v>
      </c>
    </row>
    <row r="231" spans="1:14" x14ac:dyDescent="0.3">
      <c r="A231" t="s">
        <v>243</v>
      </c>
      <c r="B231" s="3">
        <v>45349</v>
      </c>
      <c r="C231" t="s">
        <v>518</v>
      </c>
      <c r="D231" t="s">
        <v>528</v>
      </c>
      <c r="E231" t="s">
        <v>535</v>
      </c>
      <c r="F231">
        <v>32</v>
      </c>
      <c r="G231">
        <v>30</v>
      </c>
      <c r="H231">
        <v>206</v>
      </c>
      <c r="I231">
        <v>6180</v>
      </c>
      <c r="J231">
        <v>0.22</v>
      </c>
      <c r="K231">
        <v>1359.6</v>
      </c>
      <c r="L231">
        <v>7539.6</v>
      </c>
      <c r="M231" t="s">
        <v>543</v>
      </c>
      <c r="N231" t="s">
        <v>550</v>
      </c>
    </row>
    <row r="232" spans="1:14" x14ac:dyDescent="0.3">
      <c r="A232" t="s">
        <v>244</v>
      </c>
      <c r="B232" s="3">
        <v>45350</v>
      </c>
      <c r="C232" t="s">
        <v>518</v>
      </c>
      <c r="D232" t="s">
        <v>523</v>
      </c>
      <c r="E232" t="s">
        <v>535</v>
      </c>
      <c r="F232">
        <v>19</v>
      </c>
      <c r="G232">
        <v>17</v>
      </c>
      <c r="H232">
        <v>179</v>
      </c>
      <c r="I232">
        <v>3043</v>
      </c>
      <c r="J232">
        <v>0.22</v>
      </c>
      <c r="K232">
        <v>669.46</v>
      </c>
      <c r="L232">
        <v>3712.46</v>
      </c>
      <c r="M232" t="s">
        <v>542</v>
      </c>
      <c r="N232" t="s">
        <v>553</v>
      </c>
    </row>
    <row r="233" spans="1:14" x14ac:dyDescent="0.3">
      <c r="A233" t="s">
        <v>245</v>
      </c>
      <c r="B233" s="3">
        <v>45811</v>
      </c>
      <c r="C233" t="s">
        <v>515</v>
      </c>
      <c r="D233" t="s">
        <v>533</v>
      </c>
      <c r="E233" t="s">
        <v>539</v>
      </c>
      <c r="F233">
        <v>63</v>
      </c>
      <c r="G233">
        <v>63</v>
      </c>
      <c r="H233">
        <v>78</v>
      </c>
      <c r="I233">
        <v>4914</v>
      </c>
      <c r="J233">
        <v>0.22</v>
      </c>
      <c r="K233">
        <v>1081.08</v>
      </c>
      <c r="L233">
        <v>5995.08</v>
      </c>
      <c r="M233" t="s">
        <v>541</v>
      </c>
      <c r="N233" t="s">
        <v>550</v>
      </c>
    </row>
    <row r="234" spans="1:14" x14ac:dyDescent="0.3">
      <c r="A234" t="s">
        <v>246</v>
      </c>
      <c r="B234" s="3">
        <v>45752</v>
      </c>
      <c r="C234" t="s">
        <v>519</v>
      </c>
      <c r="D234" t="s">
        <v>531</v>
      </c>
      <c r="E234" t="s">
        <v>539</v>
      </c>
      <c r="F234">
        <v>60</v>
      </c>
      <c r="G234">
        <v>58</v>
      </c>
      <c r="H234">
        <v>242</v>
      </c>
      <c r="I234">
        <v>14036</v>
      </c>
      <c r="J234">
        <v>0.22</v>
      </c>
      <c r="K234">
        <v>3087.92</v>
      </c>
      <c r="L234">
        <v>17123.919999999998</v>
      </c>
      <c r="M234" t="s">
        <v>542</v>
      </c>
      <c r="N234" t="s">
        <v>550</v>
      </c>
    </row>
    <row r="235" spans="1:14" x14ac:dyDescent="0.3">
      <c r="A235" t="s">
        <v>247</v>
      </c>
      <c r="B235" s="3">
        <v>45753</v>
      </c>
      <c r="C235" t="s">
        <v>520</v>
      </c>
      <c r="D235" t="s">
        <v>531</v>
      </c>
      <c r="E235" t="s">
        <v>536</v>
      </c>
      <c r="F235">
        <v>62</v>
      </c>
      <c r="G235">
        <v>62</v>
      </c>
      <c r="H235">
        <v>82</v>
      </c>
      <c r="I235">
        <v>5084</v>
      </c>
      <c r="J235">
        <v>0.22</v>
      </c>
      <c r="K235">
        <v>1118.48</v>
      </c>
      <c r="L235">
        <v>6202.48</v>
      </c>
      <c r="M235" t="s">
        <v>541</v>
      </c>
      <c r="N235" t="s">
        <v>547</v>
      </c>
    </row>
    <row r="236" spans="1:14" x14ac:dyDescent="0.3">
      <c r="A236" t="s">
        <v>248</v>
      </c>
      <c r="B236" s="3">
        <v>45332</v>
      </c>
      <c r="C236" t="s">
        <v>519</v>
      </c>
      <c r="D236" t="s">
        <v>533</v>
      </c>
      <c r="E236" t="s">
        <v>540</v>
      </c>
      <c r="F236">
        <v>8</v>
      </c>
      <c r="G236">
        <v>9</v>
      </c>
      <c r="H236">
        <v>199</v>
      </c>
      <c r="I236">
        <v>1791</v>
      </c>
      <c r="J236">
        <v>0.22</v>
      </c>
      <c r="K236">
        <v>394.02</v>
      </c>
      <c r="L236">
        <v>2185.02</v>
      </c>
      <c r="M236" t="s">
        <v>541</v>
      </c>
      <c r="N236" t="s">
        <v>547</v>
      </c>
    </row>
    <row r="237" spans="1:14" x14ac:dyDescent="0.3">
      <c r="A237" t="s">
        <v>249</v>
      </c>
      <c r="B237" s="3">
        <v>45664</v>
      </c>
      <c r="C237" t="s">
        <v>518</v>
      </c>
      <c r="D237" t="s">
        <v>523</v>
      </c>
      <c r="E237" t="s">
        <v>540</v>
      </c>
      <c r="F237">
        <v>1</v>
      </c>
      <c r="G237">
        <v>1</v>
      </c>
      <c r="H237">
        <v>117</v>
      </c>
      <c r="I237">
        <v>117</v>
      </c>
      <c r="J237">
        <v>0.22</v>
      </c>
      <c r="K237">
        <v>25.74</v>
      </c>
      <c r="L237">
        <v>142.74</v>
      </c>
      <c r="M237" t="s">
        <v>543</v>
      </c>
      <c r="N237" t="s">
        <v>553</v>
      </c>
    </row>
    <row r="238" spans="1:14" x14ac:dyDescent="0.3">
      <c r="A238" t="s">
        <v>250</v>
      </c>
      <c r="B238" s="3">
        <v>45345</v>
      </c>
      <c r="C238" t="s">
        <v>518</v>
      </c>
      <c r="D238" t="s">
        <v>527</v>
      </c>
      <c r="E238" t="s">
        <v>537</v>
      </c>
      <c r="F238">
        <v>1</v>
      </c>
      <c r="G238">
        <v>1</v>
      </c>
      <c r="H238">
        <v>298</v>
      </c>
      <c r="I238">
        <v>298</v>
      </c>
      <c r="J238">
        <v>0.22</v>
      </c>
      <c r="K238">
        <v>65.56</v>
      </c>
      <c r="L238">
        <v>363.56</v>
      </c>
      <c r="M238" t="s">
        <v>541</v>
      </c>
      <c r="N238" t="s">
        <v>546</v>
      </c>
    </row>
    <row r="239" spans="1:14" x14ac:dyDescent="0.3">
      <c r="A239" t="s">
        <v>251</v>
      </c>
      <c r="B239" s="3">
        <v>45582</v>
      </c>
      <c r="C239" t="s">
        <v>522</v>
      </c>
      <c r="D239" t="s">
        <v>529</v>
      </c>
      <c r="E239" t="s">
        <v>539</v>
      </c>
      <c r="F239">
        <v>28</v>
      </c>
      <c r="G239">
        <v>34</v>
      </c>
      <c r="H239">
        <v>155</v>
      </c>
      <c r="I239">
        <v>5270</v>
      </c>
      <c r="J239">
        <v>0</v>
      </c>
      <c r="K239">
        <v>0</v>
      </c>
      <c r="L239">
        <v>5270</v>
      </c>
      <c r="M239" t="s">
        <v>542</v>
      </c>
      <c r="N239" t="s">
        <v>551</v>
      </c>
    </row>
    <row r="240" spans="1:14" x14ac:dyDescent="0.3">
      <c r="A240" t="s">
        <v>252</v>
      </c>
      <c r="B240" s="3">
        <v>45375</v>
      </c>
      <c r="C240" t="s">
        <v>521</v>
      </c>
      <c r="D240" t="s">
        <v>531</v>
      </c>
      <c r="E240" t="s">
        <v>537</v>
      </c>
      <c r="F240">
        <v>51</v>
      </c>
      <c r="G240">
        <v>48</v>
      </c>
      <c r="H240">
        <v>148</v>
      </c>
      <c r="I240">
        <v>7104</v>
      </c>
      <c r="J240">
        <v>0.1</v>
      </c>
      <c r="K240">
        <v>710.4</v>
      </c>
      <c r="L240">
        <v>7814.4</v>
      </c>
      <c r="M240" t="s">
        <v>541</v>
      </c>
      <c r="N240" t="s">
        <v>546</v>
      </c>
    </row>
    <row r="241" spans="1:14" x14ac:dyDescent="0.3">
      <c r="A241" t="s">
        <v>253</v>
      </c>
      <c r="B241" s="3">
        <v>45424</v>
      </c>
      <c r="C241" t="s">
        <v>520</v>
      </c>
      <c r="D241" t="s">
        <v>523</v>
      </c>
      <c r="E241" t="s">
        <v>539</v>
      </c>
      <c r="F241">
        <v>1</v>
      </c>
      <c r="G241">
        <v>1</v>
      </c>
      <c r="H241">
        <v>75</v>
      </c>
      <c r="I241">
        <v>75</v>
      </c>
      <c r="J241">
        <v>0.22</v>
      </c>
      <c r="K241">
        <v>16.5</v>
      </c>
      <c r="L241">
        <v>91.5</v>
      </c>
      <c r="M241" t="s">
        <v>543</v>
      </c>
      <c r="N241" t="s">
        <v>547</v>
      </c>
    </row>
    <row r="242" spans="1:14" x14ac:dyDescent="0.3">
      <c r="A242" t="s">
        <v>254</v>
      </c>
      <c r="B242" s="3">
        <v>45831</v>
      </c>
      <c r="C242" t="s">
        <v>520</v>
      </c>
      <c r="D242" t="s">
        <v>529</v>
      </c>
      <c r="E242" t="s">
        <v>536</v>
      </c>
      <c r="F242">
        <v>72</v>
      </c>
      <c r="G242">
        <v>61</v>
      </c>
      <c r="H242">
        <v>290</v>
      </c>
      <c r="I242">
        <v>17690</v>
      </c>
      <c r="J242">
        <v>0</v>
      </c>
      <c r="K242">
        <v>0</v>
      </c>
      <c r="L242">
        <v>17690</v>
      </c>
      <c r="M242" t="s">
        <v>543</v>
      </c>
      <c r="N242" t="s">
        <v>545</v>
      </c>
    </row>
    <row r="243" spans="1:14" x14ac:dyDescent="0.3">
      <c r="A243" t="s">
        <v>255</v>
      </c>
      <c r="B243" s="3">
        <v>45662</v>
      </c>
      <c r="C243" t="s">
        <v>514</v>
      </c>
      <c r="D243" t="s">
        <v>531</v>
      </c>
      <c r="E243" t="s">
        <v>537</v>
      </c>
      <c r="F243">
        <v>76</v>
      </c>
      <c r="G243">
        <v>64</v>
      </c>
      <c r="H243">
        <v>250</v>
      </c>
      <c r="I243">
        <v>16000</v>
      </c>
      <c r="J243">
        <v>0.22</v>
      </c>
      <c r="K243">
        <v>3520</v>
      </c>
      <c r="L243">
        <v>19520</v>
      </c>
      <c r="M243" t="s">
        <v>542</v>
      </c>
      <c r="N243" t="s">
        <v>551</v>
      </c>
    </row>
    <row r="244" spans="1:14" x14ac:dyDescent="0.3">
      <c r="A244" t="s">
        <v>256</v>
      </c>
      <c r="B244" s="3">
        <v>45789</v>
      </c>
      <c r="C244" t="s">
        <v>519</v>
      </c>
      <c r="D244" t="s">
        <v>525</v>
      </c>
      <c r="E244" t="s">
        <v>534</v>
      </c>
      <c r="F244">
        <v>80</v>
      </c>
      <c r="G244">
        <v>69</v>
      </c>
      <c r="H244">
        <v>81</v>
      </c>
      <c r="I244">
        <v>5589</v>
      </c>
      <c r="J244">
        <v>0.22</v>
      </c>
      <c r="K244">
        <v>1229.58</v>
      </c>
      <c r="L244">
        <v>6818.58</v>
      </c>
      <c r="M244" t="s">
        <v>543</v>
      </c>
      <c r="N244" t="s">
        <v>544</v>
      </c>
    </row>
    <row r="245" spans="1:14" x14ac:dyDescent="0.3">
      <c r="A245" t="s">
        <v>257</v>
      </c>
      <c r="B245" s="3">
        <v>45811</v>
      </c>
      <c r="C245" t="s">
        <v>516</v>
      </c>
      <c r="D245" t="s">
        <v>528</v>
      </c>
      <c r="E245" t="s">
        <v>535</v>
      </c>
      <c r="F245">
        <v>64</v>
      </c>
      <c r="G245">
        <v>67</v>
      </c>
      <c r="H245">
        <v>135</v>
      </c>
      <c r="I245">
        <v>9045</v>
      </c>
      <c r="J245">
        <v>0.22</v>
      </c>
      <c r="K245">
        <v>1989.9</v>
      </c>
      <c r="L245">
        <v>11034.9</v>
      </c>
      <c r="M245" t="s">
        <v>541</v>
      </c>
      <c r="N245" t="s">
        <v>547</v>
      </c>
    </row>
    <row r="246" spans="1:14" x14ac:dyDescent="0.3">
      <c r="A246" t="s">
        <v>258</v>
      </c>
      <c r="B246" s="3">
        <v>45677</v>
      </c>
      <c r="C246" t="s">
        <v>521</v>
      </c>
      <c r="D246" t="s">
        <v>532</v>
      </c>
      <c r="E246" t="s">
        <v>534</v>
      </c>
      <c r="F246">
        <v>21</v>
      </c>
      <c r="G246">
        <v>26</v>
      </c>
      <c r="H246">
        <v>203</v>
      </c>
      <c r="I246">
        <v>5278</v>
      </c>
      <c r="J246">
        <v>0.22</v>
      </c>
      <c r="K246">
        <v>1161.1600000000001</v>
      </c>
      <c r="L246">
        <v>6439.16</v>
      </c>
      <c r="M246" t="s">
        <v>541</v>
      </c>
      <c r="N246" t="s">
        <v>547</v>
      </c>
    </row>
    <row r="247" spans="1:14" x14ac:dyDescent="0.3">
      <c r="A247" t="s">
        <v>259</v>
      </c>
      <c r="B247" s="3">
        <v>45740</v>
      </c>
      <c r="C247" t="s">
        <v>514</v>
      </c>
      <c r="D247" t="s">
        <v>530</v>
      </c>
      <c r="E247" t="s">
        <v>537</v>
      </c>
      <c r="F247">
        <v>60</v>
      </c>
      <c r="G247">
        <v>51</v>
      </c>
      <c r="H247">
        <v>288</v>
      </c>
      <c r="I247">
        <v>14688</v>
      </c>
      <c r="J247">
        <v>0.22</v>
      </c>
      <c r="K247">
        <v>3231.36</v>
      </c>
      <c r="L247">
        <v>17919.36</v>
      </c>
      <c r="M247" t="s">
        <v>542</v>
      </c>
      <c r="N247" t="s">
        <v>552</v>
      </c>
    </row>
    <row r="248" spans="1:14" x14ac:dyDescent="0.3">
      <c r="A248" t="s">
        <v>260</v>
      </c>
      <c r="B248" s="3">
        <v>45583</v>
      </c>
      <c r="C248" t="s">
        <v>517</v>
      </c>
      <c r="D248" t="s">
        <v>525</v>
      </c>
      <c r="E248" t="s">
        <v>539</v>
      </c>
      <c r="F248">
        <v>55</v>
      </c>
      <c r="G248">
        <v>57</v>
      </c>
      <c r="H248">
        <v>88</v>
      </c>
      <c r="I248">
        <v>5016</v>
      </c>
      <c r="J248">
        <v>0.22</v>
      </c>
      <c r="K248">
        <v>1103.52</v>
      </c>
      <c r="L248">
        <v>6119.52</v>
      </c>
      <c r="M248" t="s">
        <v>543</v>
      </c>
      <c r="N248" t="s">
        <v>549</v>
      </c>
    </row>
    <row r="249" spans="1:14" x14ac:dyDescent="0.3">
      <c r="A249" t="s">
        <v>261</v>
      </c>
      <c r="B249" s="3">
        <v>45668</v>
      </c>
      <c r="C249" t="s">
        <v>517</v>
      </c>
      <c r="D249" t="s">
        <v>533</v>
      </c>
      <c r="E249" t="s">
        <v>538</v>
      </c>
      <c r="F249">
        <v>93</v>
      </c>
      <c r="G249">
        <v>78</v>
      </c>
      <c r="H249">
        <v>279</v>
      </c>
      <c r="I249">
        <v>21762</v>
      </c>
      <c r="J249">
        <v>0.22</v>
      </c>
      <c r="K249">
        <v>4787.6400000000003</v>
      </c>
      <c r="L249">
        <v>26549.64</v>
      </c>
      <c r="M249" t="s">
        <v>543</v>
      </c>
      <c r="N249" t="s">
        <v>545</v>
      </c>
    </row>
    <row r="250" spans="1:14" x14ac:dyDescent="0.3">
      <c r="A250" t="s">
        <v>262</v>
      </c>
      <c r="B250" s="3">
        <v>45832</v>
      </c>
      <c r="C250" t="s">
        <v>515</v>
      </c>
      <c r="D250" t="s">
        <v>532</v>
      </c>
      <c r="E250" t="s">
        <v>538</v>
      </c>
      <c r="F250">
        <v>82</v>
      </c>
      <c r="G250">
        <v>69</v>
      </c>
      <c r="H250">
        <v>106</v>
      </c>
      <c r="I250">
        <v>7314</v>
      </c>
      <c r="J250">
        <v>0.22</v>
      </c>
      <c r="K250">
        <v>1609.08</v>
      </c>
      <c r="L250">
        <v>8923.08</v>
      </c>
      <c r="M250" t="s">
        <v>541</v>
      </c>
      <c r="N250" t="s">
        <v>547</v>
      </c>
    </row>
    <row r="251" spans="1:14" x14ac:dyDescent="0.3">
      <c r="A251" t="s">
        <v>263</v>
      </c>
      <c r="B251" s="3">
        <v>45548</v>
      </c>
      <c r="C251" t="s">
        <v>514</v>
      </c>
      <c r="D251" t="s">
        <v>529</v>
      </c>
      <c r="E251" t="s">
        <v>540</v>
      </c>
      <c r="F251">
        <v>71</v>
      </c>
      <c r="G251">
        <v>62</v>
      </c>
      <c r="H251">
        <v>256</v>
      </c>
      <c r="I251">
        <v>15872</v>
      </c>
      <c r="J251">
        <v>0</v>
      </c>
      <c r="K251">
        <v>0</v>
      </c>
      <c r="L251">
        <v>15872</v>
      </c>
      <c r="M251" t="s">
        <v>543</v>
      </c>
      <c r="N251" t="s">
        <v>545</v>
      </c>
    </row>
    <row r="252" spans="1:14" x14ac:dyDescent="0.3">
      <c r="A252" t="s">
        <v>264</v>
      </c>
      <c r="B252" s="3">
        <v>45397</v>
      </c>
      <c r="C252" t="s">
        <v>516</v>
      </c>
      <c r="D252" t="s">
        <v>527</v>
      </c>
      <c r="E252" t="s">
        <v>537</v>
      </c>
      <c r="F252">
        <v>70</v>
      </c>
      <c r="G252">
        <v>76</v>
      </c>
      <c r="H252">
        <v>203</v>
      </c>
      <c r="I252">
        <v>15428</v>
      </c>
      <c r="J252">
        <v>0.22</v>
      </c>
      <c r="K252">
        <v>3394.16</v>
      </c>
      <c r="L252">
        <v>18822.16</v>
      </c>
      <c r="M252" t="s">
        <v>542</v>
      </c>
      <c r="N252" t="s">
        <v>548</v>
      </c>
    </row>
    <row r="253" spans="1:14" x14ac:dyDescent="0.3">
      <c r="A253" t="s">
        <v>265</v>
      </c>
      <c r="B253" s="3">
        <v>45752</v>
      </c>
      <c r="C253" t="s">
        <v>516</v>
      </c>
      <c r="D253" t="s">
        <v>532</v>
      </c>
      <c r="E253" t="s">
        <v>538</v>
      </c>
      <c r="F253">
        <v>46</v>
      </c>
      <c r="G253">
        <v>48</v>
      </c>
      <c r="H253">
        <v>144</v>
      </c>
      <c r="I253">
        <v>6912</v>
      </c>
      <c r="J253">
        <v>0.22</v>
      </c>
      <c r="K253">
        <v>1520.64</v>
      </c>
      <c r="L253">
        <v>8432.64</v>
      </c>
      <c r="M253" t="s">
        <v>542</v>
      </c>
      <c r="N253" t="s">
        <v>552</v>
      </c>
    </row>
    <row r="254" spans="1:14" x14ac:dyDescent="0.3">
      <c r="A254" t="s">
        <v>266</v>
      </c>
      <c r="B254" s="3">
        <v>45649</v>
      </c>
      <c r="C254" t="s">
        <v>514</v>
      </c>
      <c r="D254" t="s">
        <v>530</v>
      </c>
      <c r="E254" t="s">
        <v>535</v>
      </c>
      <c r="F254">
        <v>44</v>
      </c>
      <c r="G254">
        <v>39</v>
      </c>
      <c r="H254">
        <v>159</v>
      </c>
      <c r="I254">
        <v>6201</v>
      </c>
      <c r="J254">
        <v>0.22</v>
      </c>
      <c r="K254">
        <v>1364.22</v>
      </c>
      <c r="L254">
        <v>7565.22</v>
      </c>
      <c r="M254" t="s">
        <v>543</v>
      </c>
      <c r="N254" t="s">
        <v>549</v>
      </c>
    </row>
    <row r="255" spans="1:14" x14ac:dyDescent="0.3">
      <c r="A255" t="s">
        <v>267</v>
      </c>
      <c r="B255" s="3">
        <v>45687</v>
      </c>
      <c r="C255" t="s">
        <v>520</v>
      </c>
      <c r="D255" t="s">
        <v>531</v>
      </c>
      <c r="E255" t="s">
        <v>534</v>
      </c>
      <c r="F255">
        <v>31</v>
      </c>
      <c r="G255">
        <v>33</v>
      </c>
      <c r="H255">
        <v>281</v>
      </c>
      <c r="I255">
        <v>9273</v>
      </c>
      <c r="J255">
        <v>0.22</v>
      </c>
      <c r="K255">
        <v>2040.06</v>
      </c>
      <c r="L255">
        <v>11313.06</v>
      </c>
      <c r="M255" t="s">
        <v>542</v>
      </c>
      <c r="N255" t="s">
        <v>551</v>
      </c>
    </row>
    <row r="256" spans="1:14" x14ac:dyDescent="0.3">
      <c r="A256" t="s">
        <v>268</v>
      </c>
      <c r="B256" s="3">
        <v>45441</v>
      </c>
      <c r="C256" t="s">
        <v>521</v>
      </c>
      <c r="D256" t="s">
        <v>524</v>
      </c>
      <c r="E256" t="s">
        <v>537</v>
      </c>
      <c r="F256">
        <v>20</v>
      </c>
      <c r="G256">
        <v>23</v>
      </c>
      <c r="H256">
        <v>69</v>
      </c>
      <c r="I256">
        <v>1587</v>
      </c>
      <c r="J256">
        <v>0.1</v>
      </c>
      <c r="K256">
        <v>158.69999999999999</v>
      </c>
      <c r="L256">
        <v>1745.7</v>
      </c>
      <c r="M256" t="s">
        <v>543</v>
      </c>
      <c r="N256" t="s">
        <v>547</v>
      </c>
    </row>
    <row r="257" spans="1:14" x14ac:dyDescent="0.3">
      <c r="A257" t="s">
        <v>269</v>
      </c>
      <c r="B257" s="3">
        <v>45772</v>
      </c>
      <c r="C257" t="s">
        <v>517</v>
      </c>
      <c r="D257" t="s">
        <v>526</v>
      </c>
      <c r="E257" t="s">
        <v>535</v>
      </c>
      <c r="F257">
        <v>71</v>
      </c>
      <c r="G257">
        <v>69</v>
      </c>
      <c r="H257">
        <v>159</v>
      </c>
      <c r="I257">
        <v>10971</v>
      </c>
      <c r="J257">
        <v>0</v>
      </c>
      <c r="K257">
        <v>0</v>
      </c>
      <c r="L257">
        <v>10971</v>
      </c>
      <c r="M257" t="s">
        <v>542</v>
      </c>
      <c r="N257" t="s">
        <v>550</v>
      </c>
    </row>
    <row r="258" spans="1:14" x14ac:dyDescent="0.3">
      <c r="A258" t="s">
        <v>270</v>
      </c>
      <c r="B258" s="3">
        <v>45554</v>
      </c>
      <c r="C258" t="s">
        <v>519</v>
      </c>
      <c r="D258" t="s">
        <v>532</v>
      </c>
      <c r="E258" t="s">
        <v>539</v>
      </c>
      <c r="F258">
        <v>40</v>
      </c>
      <c r="G258">
        <v>34</v>
      </c>
      <c r="H258">
        <v>239</v>
      </c>
      <c r="I258">
        <v>8126</v>
      </c>
      <c r="J258">
        <v>0.1</v>
      </c>
      <c r="K258">
        <v>812.6</v>
      </c>
      <c r="L258">
        <v>8938.6</v>
      </c>
      <c r="M258" t="s">
        <v>541</v>
      </c>
      <c r="N258" t="s">
        <v>545</v>
      </c>
    </row>
    <row r="259" spans="1:14" x14ac:dyDescent="0.3">
      <c r="A259" t="s">
        <v>271</v>
      </c>
      <c r="B259" s="3">
        <v>45725</v>
      </c>
      <c r="C259" t="s">
        <v>520</v>
      </c>
      <c r="D259" t="s">
        <v>523</v>
      </c>
      <c r="E259" t="s">
        <v>534</v>
      </c>
      <c r="F259">
        <v>11</v>
      </c>
      <c r="G259">
        <v>10</v>
      </c>
      <c r="H259">
        <v>206</v>
      </c>
      <c r="I259">
        <v>2060</v>
      </c>
      <c r="J259">
        <v>0.22</v>
      </c>
      <c r="K259">
        <v>453.2</v>
      </c>
      <c r="L259">
        <v>2513.1999999999998</v>
      </c>
      <c r="M259" t="s">
        <v>542</v>
      </c>
      <c r="N259" t="s">
        <v>549</v>
      </c>
    </row>
    <row r="260" spans="1:14" x14ac:dyDescent="0.3">
      <c r="A260" t="s">
        <v>272</v>
      </c>
      <c r="B260" s="3">
        <v>45721</v>
      </c>
      <c r="C260" t="s">
        <v>517</v>
      </c>
      <c r="D260" t="s">
        <v>527</v>
      </c>
      <c r="E260" t="s">
        <v>535</v>
      </c>
      <c r="F260">
        <v>60</v>
      </c>
      <c r="G260">
        <v>58</v>
      </c>
      <c r="H260">
        <v>155</v>
      </c>
      <c r="I260">
        <v>8990</v>
      </c>
      <c r="J260">
        <v>0.22</v>
      </c>
      <c r="K260">
        <v>1977.8</v>
      </c>
      <c r="L260">
        <v>10967.8</v>
      </c>
      <c r="M260" t="s">
        <v>543</v>
      </c>
      <c r="N260" t="s">
        <v>553</v>
      </c>
    </row>
    <row r="261" spans="1:14" x14ac:dyDescent="0.3">
      <c r="A261" t="s">
        <v>273</v>
      </c>
      <c r="B261" s="3">
        <v>45308</v>
      </c>
      <c r="C261" t="s">
        <v>516</v>
      </c>
      <c r="D261" t="s">
        <v>526</v>
      </c>
      <c r="E261" t="s">
        <v>534</v>
      </c>
      <c r="F261">
        <v>1</v>
      </c>
      <c r="G261">
        <v>1</v>
      </c>
      <c r="H261">
        <v>128</v>
      </c>
      <c r="I261">
        <v>128</v>
      </c>
      <c r="J261">
        <v>0</v>
      </c>
      <c r="K261">
        <v>0</v>
      </c>
      <c r="L261">
        <v>128</v>
      </c>
      <c r="M261" t="s">
        <v>541</v>
      </c>
      <c r="N261" t="s">
        <v>547</v>
      </c>
    </row>
    <row r="262" spans="1:14" x14ac:dyDescent="0.3">
      <c r="A262" t="s">
        <v>274</v>
      </c>
      <c r="B262" s="3">
        <v>45590</v>
      </c>
      <c r="C262" t="s">
        <v>515</v>
      </c>
      <c r="D262" t="s">
        <v>524</v>
      </c>
      <c r="E262" t="s">
        <v>539</v>
      </c>
      <c r="F262">
        <v>4</v>
      </c>
      <c r="G262">
        <v>4</v>
      </c>
      <c r="H262">
        <v>75</v>
      </c>
      <c r="I262">
        <v>300</v>
      </c>
      <c r="J262">
        <v>0.22</v>
      </c>
      <c r="K262">
        <v>66</v>
      </c>
      <c r="L262">
        <v>366</v>
      </c>
      <c r="M262" t="s">
        <v>541</v>
      </c>
      <c r="N262" t="s">
        <v>546</v>
      </c>
    </row>
    <row r="263" spans="1:14" x14ac:dyDescent="0.3">
      <c r="A263" t="s">
        <v>275</v>
      </c>
      <c r="B263" s="3">
        <v>45483</v>
      </c>
      <c r="C263" t="s">
        <v>520</v>
      </c>
      <c r="D263" t="s">
        <v>528</v>
      </c>
      <c r="E263" t="s">
        <v>537</v>
      </c>
      <c r="F263">
        <v>29</v>
      </c>
      <c r="G263">
        <v>24</v>
      </c>
      <c r="H263">
        <v>139</v>
      </c>
      <c r="I263">
        <v>3336</v>
      </c>
      <c r="J263">
        <v>0.22</v>
      </c>
      <c r="K263">
        <v>733.92</v>
      </c>
      <c r="L263">
        <v>4069.92</v>
      </c>
      <c r="M263" t="s">
        <v>541</v>
      </c>
      <c r="N263" t="s">
        <v>545</v>
      </c>
    </row>
    <row r="264" spans="1:14" x14ac:dyDescent="0.3">
      <c r="A264" t="s">
        <v>276</v>
      </c>
      <c r="B264" s="3">
        <v>45811</v>
      </c>
      <c r="C264" t="s">
        <v>516</v>
      </c>
      <c r="D264" t="s">
        <v>528</v>
      </c>
      <c r="E264" t="s">
        <v>535</v>
      </c>
      <c r="F264">
        <v>2</v>
      </c>
      <c r="G264">
        <v>2</v>
      </c>
      <c r="H264">
        <v>300</v>
      </c>
      <c r="I264">
        <v>600</v>
      </c>
      <c r="J264">
        <v>0.22</v>
      </c>
      <c r="K264">
        <v>132</v>
      </c>
      <c r="L264">
        <v>732</v>
      </c>
      <c r="M264" t="s">
        <v>543</v>
      </c>
      <c r="N264" t="s">
        <v>550</v>
      </c>
    </row>
    <row r="265" spans="1:14" x14ac:dyDescent="0.3">
      <c r="A265" t="s">
        <v>277</v>
      </c>
      <c r="B265" s="3">
        <v>45688</v>
      </c>
      <c r="C265" t="s">
        <v>518</v>
      </c>
      <c r="D265" t="s">
        <v>523</v>
      </c>
      <c r="E265" t="s">
        <v>536</v>
      </c>
      <c r="F265">
        <v>32</v>
      </c>
      <c r="G265">
        <v>32</v>
      </c>
      <c r="H265">
        <v>278</v>
      </c>
      <c r="I265">
        <v>8896</v>
      </c>
      <c r="J265">
        <v>0.22</v>
      </c>
      <c r="K265">
        <v>1957.12</v>
      </c>
      <c r="L265">
        <v>10853.12</v>
      </c>
      <c r="M265" t="s">
        <v>542</v>
      </c>
      <c r="N265" t="s">
        <v>551</v>
      </c>
    </row>
    <row r="266" spans="1:14" x14ac:dyDescent="0.3">
      <c r="A266" t="s">
        <v>278</v>
      </c>
      <c r="B266" s="3">
        <v>45538</v>
      </c>
      <c r="C266" t="s">
        <v>520</v>
      </c>
      <c r="D266" t="s">
        <v>526</v>
      </c>
      <c r="E266" t="s">
        <v>536</v>
      </c>
      <c r="F266">
        <v>28</v>
      </c>
      <c r="G266">
        <v>24</v>
      </c>
      <c r="H266">
        <v>199</v>
      </c>
      <c r="I266">
        <v>4776</v>
      </c>
      <c r="J266">
        <v>0</v>
      </c>
      <c r="K266">
        <v>0</v>
      </c>
      <c r="L266">
        <v>4776</v>
      </c>
      <c r="M266" t="s">
        <v>543</v>
      </c>
      <c r="N266" t="s">
        <v>547</v>
      </c>
    </row>
    <row r="267" spans="1:14" x14ac:dyDescent="0.3">
      <c r="A267" t="s">
        <v>279</v>
      </c>
      <c r="B267" s="3">
        <v>45337</v>
      </c>
      <c r="C267" t="s">
        <v>518</v>
      </c>
      <c r="D267" t="s">
        <v>528</v>
      </c>
      <c r="E267" t="s">
        <v>537</v>
      </c>
      <c r="F267">
        <v>55</v>
      </c>
      <c r="G267">
        <v>50</v>
      </c>
      <c r="H267">
        <v>222</v>
      </c>
      <c r="I267">
        <v>11100</v>
      </c>
      <c r="J267">
        <v>0.22</v>
      </c>
      <c r="K267">
        <v>2442</v>
      </c>
      <c r="L267">
        <v>13542</v>
      </c>
      <c r="M267" t="s">
        <v>542</v>
      </c>
      <c r="N267" t="s">
        <v>552</v>
      </c>
    </row>
    <row r="268" spans="1:14" x14ac:dyDescent="0.3">
      <c r="A268" t="s">
        <v>280</v>
      </c>
      <c r="B268" s="3">
        <v>45782</v>
      </c>
      <c r="C268" t="s">
        <v>521</v>
      </c>
      <c r="D268" t="s">
        <v>532</v>
      </c>
      <c r="E268" t="s">
        <v>535</v>
      </c>
      <c r="F268">
        <v>36</v>
      </c>
      <c r="G268">
        <v>33</v>
      </c>
      <c r="H268">
        <v>220</v>
      </c>
      <c r="I268">
        <v>7260</v>
      </c>
      <c r="J268">
        <v>0.22</v>
      </c>
      <c r="K268">
        <v>1597.2</v>
      </c>
      <c r="L268">
        <v>8857.2000000000007</v>
      </c>
      <c r="M268" t="s">
        <v>543</v>
      </c>
      <c r="N268" t="s">
        <v>550</v>
      </c>
    </row>
    <row r="269" spans="1:14" x14ac:dyDescent="0.3">
      <c r="A269" t="s">
        <v>281</v>
      </c>
      <c r="B269" s="3">
        <v>45592</v>
      </c>
      <c r="C269" t="s">
        <v>519</v>
      </c>
      <c r="D269" t="s">
        <v>524</v>
      </c>
      <c r="E269" t="s">
        <v>538</v>
      </c>
      <c r="F269">
        <v>66</v>
      </c>
      <c r="G269">
        <v>61</v>
      </c>
      <c r="H269">
        <v>238</v>
      </c>
      <c r="I269">
        <v>14518</v>
      </c>
      <c r="J269">
        <v>0.22</v>
      </c>
      <c r="K269">
        <v>3193.96</v>
      </c>
      <c r="L269">
        <v>17711.96</v>
      </c>
      <c r="M269" t="s">
        <v>542</v>
      </c>
      <c r="N269" t="s">
        <v>551</v>
      </c>
    </row>
    <row r="270" spans="1:14" x14ac:dyDescent="0.3">
      <c r="A270" t="s">
        <v>282</v>
      </c>
      <c r="B270" s="3">
        <v>45609</v>
      </c>
      <c r="C270" t="s">
        <v>516</v>
      </c>
      <c r="D270" t="s">
        <v>530</v>
      </c>
      <c r="E270" t="s">
        <v>538</v>
      </c>
      <c r="F270">
        <v>41</v>
      </c>
      <c r="G270">
        <v>43</v>
      </c>
      <c r="H270">
        <v>160</v>
      </c>
      <c r="I270">
        <v>6880</v>
      </c>
      <c r="J270">
        <v>0.22</v>
      </c>
      <c r="K270">
        <v>1513.6</v>
      </c>
      <c r="L270">
        <v>8393.6</v>
      </c>
      <c r="M270" t="s">
        <v>543</v>
      </c>
      <c r="N270" t="s">
        <v>550</v>
      </c>
    </row>
    <row r="271" spans="1:14" x14ac:dyDescent="0.3">
      <c r="A271" t="s">
        <v>283</v>
      </c>
      <c r="B271" s="3">
        <v>45487</v>
      </c>
      <c r="C271" t="s">
        <v>522</v>
      </c>
      <c r="D271" t="s">
        <v>531</v>
      </c>
      <c r="E271" t="s">
        <v>538</v>
      </c>
      <c r="F271">
        <v>11</v>
      </c>
      <c r="G271">
        <v>12</v>
      </c>
      <c r="H271">
        <v>126</v>
      </c>
      <c r="I271">
        <v>1512</v>
      </c>
      <c r="J271">
        <v>0.22</v>
      </c>
      <c r="K271">
        <v>332.64</v>
      </c>
      <c r="L271">
        <v>1844.64</v>
      </c>
      <c r="M271" t="s">
        <v>541</v>
      </c>
      <c r="N271" t="s">
        <v>551</v>
      </c>
    </row>
    <row r="272" spans="1:14" x14ac:dyDescent="0.3">
      <c r="A272" t="s">
        <v>284</v>
      </c>
      <c r="B272" s="3">
        <v>45571</v>
      </c>
      <c r="C272" t="s">
        <v>520</v>
      </c>
      <c r="D272" t="s">
        <v>531</v>
      </c>
      <c r="E272" t="s">
        <v>540</v>
      </c>
      <c r="F272">
        <v>73</v>
      </c>
      <c r="G272">
        <v>65</v>
      </c>
      <c r="H272">
        <v>220</v>
      </c>
      <c r="I272">
        <v>14300</v>
      </c>
      <c r="J272">
        <v>0.1</v>
      </c>
      <c r="K272">
        <v>1430</v>
      </c>
      <c r="L272">
        <v>15730</v>
      </c>
      <c r="M272" t="s">
        <v>541</v>
      </c>
      <c r="N272" t="s">
        <v>552</v>
      </c>
    </row>
    <row r="273" spans="1:14" x14ac:dyDescent="0.3">
      <c r="A273" t="s">
        <v>285</v>
      </c>
      <c r="B273" s="3">
        <v>45687</v>
      </c>
      <c r="C273" t="s">
        <v>518</v>
      </c>
      <c r="D273" t="s">
        <v>532</v>
      </c>
      <c r="E273" t="s">
        <v>540</v>
      </c>
      <c r="F273">
        <v>45</v>
      </c>
      <c r="G273">
        <v>40</v>
      </c>
      <c r="H273">
        <v>133</v>
      </c>
      <c r="I273">
        <v>5320</v>
      </c>
      <c r="J273">
        <v>0.22</v>
      </c>
      <c r="K273">
        <v>1170.4000000000001</v>
      </c>
      <c r="L273">
        <v>6490.4</v>
      </c>
      <c r="M273" t="s">
        <v>543</v>
      </c>
      <c r="N273" t="s">
        <v>545</v>
      </c>
    </row>
    <row r="274" spans="1:14" x14ac:dyDescent="0.3">
      <c r="A274" t="s">
        <v>286</v>
      </c>
      <c r="B274" s="3">
        <v>45565</v>
      </c>
      <c r="C274" t="s">
        <v>520</v>
      </c>
      <c r="D274" t="s">
        <v>530</v>
      </c>
      <c r="E274" t="s">
        <v>535</v>
      </c>
      <c r="F274">
        <v>49</v>
      </c>
      <c r="G274">
        <v>43</v>
      </c>
      <c r="H274">
        <v>103</v>
      </c>
      <c r="I274">
        <v>4429</v>
      </c>
      <c r="J274">
        <v>0.22</v>
      </c>
      <c r="K274">
        <v>974.38</v>
      </c>
      <c r="L274">
        <v>5403.38</v>
      </c>
      <c r="M274" t="s">
        <v>542</v>
      </c>
      <c r="N274" t="s">
        <v>545</v>
      </c>
    </row>
    <row r="275" spans="1:14" x14ac:dyDescent="0.3">
      <c r="A275" t="s">
        <v>287</v>
      </c>
      <c r="B275" s="3">
        <v>45592</v>
      </c>
      <c r="C275" t="s">
        <v>518</v>
      </c>
      <c r="D275" t="s">
        <v>527</v>
      </c>
      <c r="E275" t="s">
        <v>535</v>
      </c>
      <c r="F275">
        <v>34</v>
      </c>
      <c r="G275">
        <v>29</v>
      </c>
      <c r="H275">
        <v>200</v>
      </c>
      <c r="I275">
        <v>5800</v>
      </c>
      <c r="J275">
        <v>0.22</v>
      </c>
      <c r="K275">
        <v>1276</v>
      </c>
      <c r="L275">
        <v>7076</v>
      </c>
      <c r="M275" t="s">
        <v>543</v>
      </c>
      <c r="N275" t="s">
        <v>548</v>
      </c>
    </row>
    <row r="276" spans="1:14" x14ac:dyDescent="0.3">
      <c r="A276" t="s">
        <v>288</v>
      </c>
      <c r="B276" s="3">
        <v>45748</v>
      </c>
      <c r="C276" t="s">
        <v>515</v>
      </c>
      <c r="D276" t="s">
        <v>532</v>
      </c>
      <c r="E276" t="s">
        <v>536</v>
      </c>
      <c r="F276">
        <v>12</v>
      </c>
      <c r="G276">
        <v>12</v>
      </c>
      <c r="H276">
        <v>154</v>
      </c>
      <c r="I276">
        <v>1848</v>
      </c>
      <c r="J276">
        <v>0.22</v>
      </c>
      <c r="K276">
        <v>406.56</v>
      </c>
      <c r="L276">
        <v>2254.56</v>
      </c>
      <c r="M276" t="s">
        <v>543</v>
      </c>
      <c r="N276" t="s">
        <v>550</v>
      </c>
    </row>
    <row r="277" spans="1:14" x14ac:dyDescent="0.3">
      <c r="A277" t="s">
        <v>289</v>
      </c>
      <c r="B277" s="3">
        <v>45653</v>
      </c>
      <c r="C277" t="s">
        <v>515</v>
      </c>
      <c r="D277" t="s">
        <v>523</v>
      </c>
      <c r="E277" t="s">
        <v>536</v>
      </c>
      <c r="F277">
        <v>46</v>
      </c>
      <c r="G277">
        <v>46</v>
      </c>
      <c r="H277">
        <v>189</v>
      </c>
      <c r="I277">
        <v>8694</v>
      </c>
      <c r="J277">
        <v>0.1</v>
      </c>
      <c r="K277">
        <v>869.4</v>
      </c>
      <c r="L277">
        <v>9563.4</v>
      </c>
      <c r="M277" t="s">
        <v>542</v>
      </c>
      <c r="N277" t="s">
        <v>544</v>
      </c>
    </row>
    <row r="278" spans="1:14" x14ac:dyDescent="0.3">
      <c r="A278" t="s">
        <v>290</v>
      </c>
      <c r="B278" s="3">
        <v>45707</v>
      </c>
      <c r="C278" t="s">
        <v>518</v>
      </c>
      <c r="D278" t="s">
        <v>528</v>
      </c>
      <c r="E278" t="s">
        <v>538</v>
      </c>
      <c r="F278">
        <v>39</v>
      </c>
      <c r="G278">
        <v>35</v>
      </c>
      <c r="H278">
        <v>274</v>
      </c>
      <c r="I278">
        <v>9590</v>
      </c>
      <c r="J278">
        <v>0.22</v>
      </c>
      <c r="K278">
        <v>2109.8000000000002</v>
      </c>
      <c r="L278">
        <v>11699.8</v>
      </c>
      <c r="M278" t="s">
        <v>542</v>
      </c>
      <c r="N278" t="s">
        <v>550</v>
      </c>
    </row>
    <row r="279" spans="1:14" x14ac:dyDescent="0.3">
      <c r="A279" t="s">
        <v>291</v>
      </c>
      <c r="B279" s="3">
        <v>45438</v>
      </c>
      <c r="C279" t="s">
        <v>517</v>
      </c>
      <c r="D279" t="s">
        <v>524</v>
      </c>
      <c r="E279" t="s">
        <v>534</v>
      </c>
      <c r="F279">
        <v>8</v>
      </c>
      <c r="G279">
        <v>8</v>
      </c>
      <c r="H279">
        <v>152</v>
      </c>
      <c r="I279">
        <v>1216</v>
      </c>
      <c r="J279">
        <v>0.22</v>
      </c>
      <c r="K279">
        <v>267.52</v>
      </c>
      <c r="L279">
        <v>1483.52</v>
      </c>
      <c r="M279" t="s">
        <v>541</v>
      </c>
      <c r="N279" t="s">
        <v>551</v>
      </c>
    </row>
    <row r="280" spans="1:14" x14ac:dyDescent="0.3">
      <c r="A280" t="s">
        <v>292</v>
      </c>
      <c r="B280" s="3">
        <v>45662</v>
      </c>
      <c r="C280" t="s">
        <v>515</v>
      </c>
      <c r="D280" t="s">
        <v>526</v>
      </c>
      <c r="E280" t="s">
        <v>535</v>
      </c>
      <c r="F280">
        <v>28</v>
      </c>
      <c r="G280">
        <v>26</v>
      </c>
      <c r="H280">
        <v>261</v>
      </c>
      <c r="I280">
        <v>6786</v>
      </c>
      <c r="J280">
        <v>0</v>
      </c>
      <c r="K280">
        <v>0</v>
      </c>
      <c r="L280">
        <v>6786</v>
      </c>
      <c r="M280" t="s">
        <v>541</v>
      </c>
      <c r="N280" t="s">
        <v>547</v>
      </c>
    </row>
    <row r="281" spans="1:14" x14ac:dyDescent="0.3">
      <c r="A281" t="s">
        <v>293</v>
      </c>
      <c r="B281" s="3">
        <v>45752</v>
      </c>
      <c r="C281" t="s">
        <v>518</v>
      </c>
      <c r="D281" t="s">
        <v>531</v>
      </c>
      <c r="E281" t="s">
        <v>540</v>
      </c>
      <c r="F281">
        <v>38</v>
      </c>
      <c r="G281">
        <v>34</v>
      </c>
      <c r="H281">
        <v>174</v>
      </c>
      <c r="I281">
        <v>5916</v>
      </c>
      <c r="J281">
        <v>0.22</v>
      </c>
      <c r="K281">
        <v>1301.52</v>
      </c>
      <c r="L281">
        <v>7217.52</v>
      </c>
      <c r="M281" t="s">
        <v>541</v>
      </c>
      <c r="N281" t="s">
        <v>547</v>
      </c>
    </row>
    <row r="282" spans="1:14" x14ac:dyDescent="0.3">
      <c r="A282" t="s">
        <v>294</v>
      </c>
      <c r="B282" s="3">
        <v>45834</v>
      </c>
      <c r="C282" t="s">
        <v>518</v>
      </c>
      <c r="D282" t="s">
        <v>530</v>
      </c>
      <c r="E282" t="s">
        <v>537</v>
      </c>
      <c r="F282">
        <v>8</v>
      </c>
      <c r="G282">
        <v>7</v>
      </c>
      <c r="H282">
        <v>255</v>
      </c>
      <c r="I282">
        <v>1785</v>
      </c>
      <c r="J282">
        <v>0.22</v>
      </c>
      <c r="K282">
        <v>392.7</v>
      </c>
      <c r="L282">
        <v>2177.6999999999998</v>
      </c>
      <c r="M282" t="s">
        <v>542</v>
      </c>
      <c r="N282" t="s">
        <v>544</v>
      </c>
    </row>
    <row r="283" spans="1:14" x14ac:dyDescent="0.3">
      <c r="A283" t="s">
        <v>295</v>
      </c>
      <c r="B283" s="3">
        <v>45318</v>
      </c>
      <c r="C283" t="s">
        <v>521</v>
      </c>
      <c r="D283" t="s">
        <v>533</v>
      </c>
      <c r="E283" t="s">
        <v>539</v>
      </c>
      <c r="F283">
        <v>54</v>
      </c>
      <c r="G283">
        <v>58</v>
      </c>
      <c r="H283">
        <v>173</v>
      </c>
      <c r="I283">
        <v>10034</v>
      </c>
      <c r="J283">
        <v>0.22</v>
      </c>
      <c r="K283">
        <v>2207.48</v>
      </c>
      <c r="L283">
        <v>12241.48</v>
      </c>
      <c r="M283" t="s">
        <v>541</v>
      </c>
      <c r="N283" t="s">
        <v>544</v>
      </c>
    </row>
    <row r="284" spans="1:14" x14ac:dyDescent="0.3">
      <c r="A284" t="s">
        <v>296</v>
      </c>
      <c r="B284" s="3">
        <v>45560</v>
      </c>
      <c r="C284" t="s">
        <v>522</v>
      </c>
      <c r="D284" t="s">
        <v>533</v>
      </c>
      <c r="E284" t="s">
        <v>534</v>
      </c>
      <c r="F284">
        <v>71</v>
      </c>
      <c r="G284">
        <v>75</v>
      </c>
      <c r="H284">
        <v>216</v>
      </c>
      <c r="I284">
        <v>16200</v>
      </c>
      <c r="J284">
        <v>0.1</v>
      </c>
      <c r="K284">
        <v>1620</v>
      </c>
      <c r="L284">
        <v>17820</v>
      </c>
      <c r="M284" t="s">
        <v>543</v>
      </c>
      <c r="N284" t="s">
        <v>552</v>
      </c>
    </row>
    <row r="285" spans="1:14" x14ac:dyDescent="0.3">
      <c r="A285" t="s">
        <v>297</v>
      </c>
      <c r="B285" s="3">
        <v>45496</v>
      </c>
      <c r="C285" t="s">
        <v>520</v>
      </c>
      <c r="D285" t="s">
        <v>532</v>
      </c>
      <c r="E285" t="s">
        <v>538</v>
      </c>
      <c r="F285">
        <v>30</v>
      </c>
      <c r="G285">
        <v>36</v>
      </c>
      <c r="H285">
        <v>276</v>
      </c>
      <c r="I285">
        <v>9936</v>
      </c>
      <c r="J285">
        <v>0.22</v>
      </c>
      <c r="K285">
        <v>2185.92</v>
      </c>
      <c r="L285">
        <v>12121.92</v>
      </c>
      <c r="M285" t="s">
        <v>542</v>
      </c>
      <c r="N285" t="s">
        <v>552</v>
      </c>
    </row>
    <row r="286" spans="1:14" x14ac:dyDescent="0.3">
      <c r="A286" t="s">
        <v>298</v>
      </c>
      <c r="B286" s="3">
        <v>45381</v>
      </c>
      <c r="C286" t="s">
        <v>518</v>
      </c>
      <c r="D286" t="s">
        <v>529</v>
      </c>
      <c r="E286" t="s">
        <v>537</v>
      </c>
      <c r="F286">
        <v>22</v>
      </c>
      <c r="G286">
        <v>21</v>
      </c>
      <c r="H286">
        <v>223</v>
      </c>
      <c r="I286">
        <v>4683</v>
      </c>
      <c r="J286">
        <v>0</v>
      </c>
      <c r="K286">
        <v>0</v>
      </c>
      <c r="L286">
        <v>4683</v>
      </c>
      <c r="M286" t="s">
        <v>541</v>
      </c>
      <c r="N286" t="s">
        <v>544</v>
      </c>
    </row>
    <row r="287" spans="1:14" x14ac:dyDescent="0.3">
      <c r="A287" t="s">
        <v>299</v>
      </c>
      <c r="B287" s="3">
        <v>45589</v>
      </c>
      <c r="C287" t="s">
        <v>522</v>
      </c>
      <c r="D287" t="s">
        <v>532</v>
      </c>
      <c r="E287" t="s">
        <v>536</v>
      </c>
      <c r="F287">
        <v>8</v>
      </c>
      <c r="G287">
        <v>10</v>
      </c>
      <c r="H287">
        <v>160</v>
      </c>
      <c r="I287">
        <v>1600</v>
      </c>
      <c r="J287">
        <v>0.22</v>
      </c>
      <c r="K287">
        <v>352</v>
      </c>
      <c r="L287">
        <v>1952</v>
      </c>
      <c r="M287" t="s">
        <v>541</v>
      </c>
      <c r="N287" t="s">
        <v>547</v>
      </c>
    </row>
    <row r="288" spans="1:14" x14ac:dyDescent="0.3">
      <c r="A288" t="s">
        <v>300</v>
      </c>
      <c r="B288" s="3">
        <v>45662</v>
      </c>
      <c r="C288" t="s">
        <v>516</v>
      </c>
      <c r="D288" t="s">
        <v>525</v>
      </c>
      <c r="E288" t="s">
        <v>535</v>
      </c>
      <c r="F288">
        <v>72</v>
      </c>
      <c r="G288">
        <v>73</v>
      </c>
      <c r="H288">
        <v>211</v>
      </c>
      <c r="I288">
        <v>15403</v>
      </c>
      <c r="J288">
        <v>0.1</v>
      </c>
      <c r="K288">
        <v>1540.3</v>
      </c>
      <c r="L288">
        <v>16943.3</v>
      </c>
      <c r="M288" t="s">
        <v>542</v>
      </c>
      <c r="N288" t="s">
        <v>549</v>
      </c>
    </row>
    <row r="289" spans="1:14" x14ac:dyDescent="0.3">
      <c r="A289" t="s">
        <v>301</v>
      </c>
      <c r="B289" s="3">
        <v>45797</v>
      </c>
      <c r="C289" t="s">
        <v>514</v>
      </c>
      <c r="D289" t="s">
        <v>531</v>
      </c>
      <c r="E289" t="s">
        <v>539</v>
      </c>
      <c r="F289">
        <v>65</v>
      </c>
      <c r="G289">
        <v>64</v>
      </c>
      <c r="H289">
        <v>286</v>
      </c>
      <c r="I289">
        <v>18304</v>
      </c>
      <c r="J289">
        <v>0.22</v>
      </c>
      <c r="K289">
        <v>4026.88</v>
      </c>
      <c r="L289">
        <v>22330.880000000001</v>
      </c>
      <c r="M289" t="s">
        <v>543</v>
      </c>
      <c r="N289" t="s">
        <v>545</v>
      </c>
    </row>
    <row r="290" spans="1:14" x14ac:dyDescent="0.3">
      <c r="A290" t="s">
        <v>302</v>
      </c>
      <c r="B290" s="3">
        <v>45424</v>
      </c>
      <c r="C290" t="s">
        <v>520</v>
      </c>
      <c r="D290" t="s">
        <v>527</v>
      </c>
      <c r="E290" t="s">
        <v>537</v>
      </c>
      <c r="F290">
        <v>45</v>
      </c>
      <c r="G290">
        <v>49</v>
      </c>
      <c r="H290">
        <v>158</v>
      </c>
      <c r="I290">
        <v>7742</v>
      </c>
      <c r="J290">
        <v>0.22</v>
      </c>
      <c r="K290">
        <v>1703.24</v>
      </c>
      <c r="L290">
        <v>9445.24</v>
      </c>
      <c r="M290" t="s">
        <v>541</v>
      </c>
      <c r="N290" t="s">
        <v>552</v>
      </c>
    </row>
    <row r="291" spans="1:14" x14ac:dyDescent="0.3">
      <c r="A291" t="s">
        <v>303</v>
      </c>
      <c r="B291" s="3">
        <v>45830</v>
      </c>
      <c r="C291" t="s">
        <v>515</v>
      </c>
      <c r="D291" t="s">
        <v>530</v>
      </c>
      <c r="E291" t="s">
        <v>538</v>
      </c>
      <c r="F291">
        <v>37</v>
      </c>
      <c r="G291">
        <v>36</v>
      </c>
      <c r="H291">
        <v>269</v>
      </c>
      <c r="I291">
        <v>9684</v>
      </c>
      <c r="J291">
        <v>0.22</v>
      </c>
      <c r="K291">
        <v>2130.48</v>
      </c>
      <c r="L291">
        <v>11814.48</v>
      </c>
      <c r="M291" t="s">
        <v>542</v>
      </c>
      <c r="N291" t="s">
        <v>551</v>
      </c>
    </row>
    <row r="292" spans="1:14" x14ac:dyDescent="0.3">
      <c r="A292" t="s">
        <v>304</v>
      </c>
      <c r="B292" s="3">
        <v>45367</v>
      </c>
      <c r="C292" t="s">
        <v>517</v>
      </c>
      <c r="D292" t="s">
        <v>533</v>
      </c>
      <c r="E292" t="s">
        <v>536</v>
      </c>
      <c r="F292">
        <v>19</v>
      </c>
      <c r="G292">
        <v>24</v>
      </c>
      <c r="H292">
        <v>210</v>
      </c>
      <c r="I292">
        <v>5040</v>
      </c>
      <c r="J292">
        <v>0.22</v>
      </c>
      <c r="K292">
        <v>1108.8</v>
      </c>
      <c r="L292">
        <v>6148.8</v>
      </c>
      <c r="M292" t="s">
        <v>542</v>
      </c>
      <c r="N292" t="s">
        <v>545</v>
      </c>
    </row>
    <row r="293" spans="1:14" x14ac:dyDescent="0.3">
      <c r="A293" t="s">
        <v>305</v>
      </c>
      <c r="B293" s="3">
        <v>45478</v>
      </c>
      <c r="C293" t="s">
        <v>521</v>
      </c>
      <c r="D293" t="s">
        <v>530</v>
      </c>
      <c r="E293" t="s">
        <v>539</v>
      </c>
      <c r="F293">
        <v>51</v>
      </c>
      <c r="G293">
        <v>62</v>
      </c>
      <c r="H293">
        <v>283</v>
      </c>
      <c r="I293">
        <v>17546</v>
      </c>
      <c r="J293">
        <v>0.1</v>
      </c>
      <c r="K293">
        <v>1754.6</v>
      </c>
      <c r="L293">
        <v>19300.599999999999</v>
      </c>
      <c r="M293" t="s">
        <v>542</v>
      </c>
      <c r="N293" t="s">
        <v>544</v>
      </c>
    </row>
    <row r="294" spans="1:14" x14ac:dyDescent="0.3">
      <c r="A294" t="s">
        <v>306</v>
      </c>
      <c r="B294" s="3">
        <v>45822</v>
      </c>
      <c r="C294" t="s">
        <v>521</v>
      </c>
      <c r="D294" t="s">
        <v>523</v>
      </c>
      <c r="E294" t="s">
        <v>534</v>
      </c>
      <c r="F294">
        <v>42</v>
      </c>
      <c r="G294">
        <v>37</v>
      </c>
      <c r="H294">
        <v>71</v>
      </c>
      <c r="I294">
        <v>2627</v>
      </c>
      <c r="J294">
        <v>0.22</v>
      </c>
      <c r="K294">
        <v>577.94000000000005</v>
      </c>
      <c r="L294">
        <v>3204.94</v>
      </c>
      <c r="M294" t="s">
        <v>541</v>
      </c>
      <c r="N294" t="s">
        <v>549</v>
      </c>
    </row>
    <row r="295" spans="1:14" x14ac:dyDescent="0.3">
      <c r="A295" t="s">
        <v>307</v>
      </c>
      <c r="B295" s="3">
        <v>45646</v>
      </c>
      <c r="C295" t="s">
        <v>516</v>
      </c>
      <c r="D295" t="s">
        <v>523</v>
      </c>
      <c r="E295" t="s">
        <v>538</v>
      </c>
      <c r="F295">
        <v>52</v>
      </c>
      <c r="G295">
        <v>55</v>
      </c>
      <c r="H295">
        <v>72</v>
      </c>
      <c r="I295">
        <v>3960</v>
      </c>
      <c r="J295">
        <v>0.22</v>
      </c>
      <c r="K295">
        <v>871.2</v>
      </c>
      <c r="L295">
        <v>4831.2</v>
      </c>
      <c r="M295" t="s">
        <v>542</v>
      </c>
      <c r="N295" t="s">
        <v>545</v>
      </c>
    </row>
    <row r="296" spans="1:14" x14ac:dyDescent="0.3">
      <c r="A296" t="s">
        <v>308</v>
      </c>
      <c r="B296" s="3">
        <v>45573</v>
      </c>
      <c r="C296" t="s">
        <v>521</v>
      </c>
      <c r="D296" t="s">
        <v>529</v>
      </c>
      <c r="E296" t="s">
        <v>537</v>
      </c>
      <c r="F296">
        <v>20</v>
      </c>
      <c r="G296">
        <v>23</v>
      </c>
      <c r="H296">
        <v>276</v>
      </c>
      <c r="I296">
        <v>6348</v>
      </c>
      <c r="J296">
        <v>0</v>
      </c>
      <c r="K296">
        <v>0</v>
      </c>
      <c r="L296">
        <v>6348</v>
      </c>
      <c r="M296" t="s">
        <v>541</v>
      </c>
      <c r="N296" t="s">
        <v>545</v>
      </c>
    </row>
    <row r="297" spans="1:14" x14ac:dyDescent="0.3">
      <c r="A297" t="s">
        <v>309</v>
      </c>
      <c r="B297" s="3">
        <v>45387</v>
      </c>
      <c r="C297" t="s">
        <v>516</v>
      </c>
      <c r="D297" t="s">
        <v>529</v>
      </c>
      <c r="E297" t="s">
        <v>534</v>
      </c>
      <c r="F297">
        <v>30</v>
      </c>
      <c r="G297">
        <v>30</v>
      </c>
      <c r="H297">
        <v>76</v>
      </c>
      <c r="I297">
        <v>2280</v>
      </c>
      <c r="J297">
        <v>0</v>
      </c>
      <c r="K297">
        <v>0</v>
      </c>
      <c r="L297">
        <v>2280</v>
      </c>
      <c r="M297" t="s">
        <v>541</v>
      </c>
      <c r="N297" t="s">
        <v>553</v>
      </c>
    </row>
    <row r="298" spans="1:14" x14ac:dyDescent="0.3">
      <c r="A298" t="s">
        <v>310</v>
      </c>
      <c r="B298" s="3">
        <v>45449</v>
      </c>
      <c r="C298" t="s">
        <v>521</v>
      </c>
      <c r="D298" t="s">
        <v>529</v>
      </c>
      <c r="E298" t="s">
        <v>539</v>
      </c>
      <c r="F298">
        <v>69</v>
      </c>
      <c r="G298">
        <v>62</v>
      </c>
      <c r="H298">
        <v>143</v>
      </c>
      <c r="I298">
        <v>8866</v>
      </c>
      <c r="J298">
        <v>0</v>
      </c>
      <c r="K298">
        <v>0</v>
      </c>
      <c r="L298">
        <v>8866</v>
      </c>
      <c r="M298" t="s">
        <v>541</v>
      </c>
      <c r="N298" t="s">
        <v>553</v>
      </c>
    </row>
    <row r="299" spans="1:14" x14ac:dyDescent="0.3">
      <c r="A299" t="s">
        <v>311</v>
      </c>
      <c r="B299" s="3">
        <v>45637</v>
      </c>
      <c r="C299" t="s">
        <v>514</v>
      </c>
      <c r="D299" t="s">
        <v>524</v>
      </c>
      <c r="E299" t="s">
        <v>535</v>
      </c>
      <c r="F299">
        <v>12</v>
      </c>
      <c r="G299">
        <v>13</v>
      </c>
      <c r="H299">
        <v>246</v>
      </c>
      <c r="I299">
        <v>3198</v>
      </c>
      <c r="J299">
        <v>0.22</v>
      </c>
      <c r="K299">
        <v>703.56</v>
      </c>
      <c r="L299">
        <v>3901.56</v>
      </c>
      <c r="M299" t="s">
        <v>541</v>
      </c>
      <c r="N299" t="s">
        <v>553</v>
      </c>
    </row>
    <row r="300" spans="1:14" x14ac:dyDescent="0.3">
      <c r="A300" t="s">
        <v>312</v>
      </c>
      <c r="B300" s="3">
        <v>45563</v>
      </c>
      <c r="C300" t="s">
        <v>519</v>
      </c>
      <c r="D300" t="s">
        <v>526</v>
      </c>
      <c r="E300" t="s">
        <v>540</v>
      </c>
      <c r="F300">
        <v>20</v>
      </c>
      <c r="G300">
        <v>19</v>
      </c>
      <c r="H300">
        <v>236</v>
      </c>
      <c r="I300">
        <v>4484</v>
      </c>
      <c r="J300">
        <v>0</v>
      </c>
      <c r="K300">
        <v>0</v>
      </c>
      <c r="L300">
        <v>4484</v>
      </c>
      <c r="M300" t="s">
        <v>541</v>
      </c>
      <c r="N300" t="s">
        <v>550</v>
      </c>
    </row>
    <row r="301" spans="1:14" x14ac:dyDescent="0.3">
      <c r="A301" t="s">
        <v>313</v>
      </c>
      <c r="B301" s="3">
        <v>45801</v>
      </c>
      <c r="C301" t="s">
        <v>516</v>
      </c>
      <c r="D301" t="s">
        <v>523</v>
      </c>
      <c r="E301" t="s">
        <v>536</v>
      </c>
      <c r="F301">
        <v>10</v>
      </c>
      <c r="G301">
        <v>12</v>
      </c>
      <c r="H301">
        <v>248</v>
      </c>
      <c r="I301">
        <v>2976</v>
      </c>
      <c r="J301">
        <v>0.1</v>
      </c>
      <c r="K301">
        <v>297.60000000000002</v>
      </c>
      <c r="L301">
        <v>3273.6</v>
      </c>
      <c r="M301" t="s">
        <v>543</v>
      </c>
      <c r="N301" t="s">
        <v>549</v>
      </c>
    </row>
    <row r="302" spans="1:14" x14ac:dyDescent="0.3">
      <c r="A302" t="s">
        <v>314</v>
      </c>
      <c r="B302" s="3">
        <v>45707</v>
      </c>
      <c r="C302" t="s">
        <v>522</v>
      </c>
      <c r="D302" t="s">
        <v>533</v>
      </c>
      <c r="E302" t="s">
        <v>535</v>
      </c>
      <c r="F302">
        <v>16</v>
      </c>
      <c r="G302">
        <v>19</v>
      </c>
      <c r="H302">
        <v>135</v>
      </c>
      <c r="I302">
        <v>2565</v>
      </c>
      <c r="J302">
        <v>0.22</v>
      </c>
      <c r="K302">
        <v>564.29999999999995</v>
      </c>
      <c r="L302">
        <v>3129.3</v>
      </c>
      <c r="M302" t="s">
        <v>542</v>
      </c>
      <c r="N302" t="s">
        <v>552</v>
      </c>
    </row>
    <row r="303" spans="1:14" x14ac:dyDescent="0.3">
      <c r="A303" t="s">
        <v>315</v>
      </c>
      <c r="B303" s="3">
        <v>45717</v>
      </c>
      <c r="C303" t="s">
        <v>517</v>
      </c>
      <c r="D303" t="s">
        <v>533</v>
      </c>
      <c r="E303" t="s">
        <v>534</v>
      </c>
      <c r="F303">
        <v>9</v>
      </c>
      <c r="G303">
        <v>9</v>
      </c>
      <c r="H303">
        <v>258</v>
      </c>
      <c r="I303">
        <v>2322</v>
      </c>
      <c r="J303">
        <v>0.22</v>
      </c>
      <c r="K303">
        <v>510.84</v>
      </c>
      <c r="L303">
        <v>2832.84</v>
      </c>
      <c r="M303" t="s">
        <v>542</v>
      </c>
      <c r="N303" t="s">
        <v>551</v>
      </c>
    </row>
    <row r="304" spans="1:14" x14ac:dyDescent="0.3">
      <c r="A304" t="s">
        <v>316</v>
      </c>
      <c r="B304" s="3">
        <v>45618</v>
      </c>
      <c r="C304" t="s">
        <v>518</v>
      </c>
      <c r="D304" t="s">
        <v>530</v>
      </c>
      <c r="E304" t="s">
        <v>534</v>
      </c>
      <c r="F304">
        <v>28</v>
      </c>
      <c r="G304">
        <v>28</v>
      </c>
      <c r="H304">
        <v>265</v>
      </c>
      <c r="I304">
        <v>7420</v>
      </c>
      <c r="J304">
        <v>0.22</v>
      </c>
      <c r="K304">
        <v>1632.4</v>
      </c>
      <c r="L304">
        <v>9052.4</v>
      </c>
      <c r="M304" t="s">
        <v>541</v>
      </c>
      <c r="N304" t="s">
        <v>545</v>
      </c>
    </row>
    <row r="305" spans="1:14" x14ac:dyDescent="0.3">
      <c r="A305" t="s">
        <v>317</v>
      </c>
      <c r="B305" s="3">
        <v>45400</v>
      </c>
      <c r="C305" t="s">
        <v>518</v>
      </c>
      <c r="D305" t="s">
        <v>525</v>
      </c>
      <c r="E305" t="s">
        <v>540</v>
      </c>
      <c r="F305">
        <v>55</v>
      </c>
      <c r="G305">
        <v>52</v>
      </c>
      <c r="H305">
        <v>142</v>
      </c>
      <c r="I305">
        <v>7384</v>
      </c>
      <c r="J305">
        <v>0.22</v>
      </c>
      <c r="K305">
        <v>1624.48</v>
      </c>
      <c r="L305">
        <v>9008.48</v>
      </c>
      <c r="M305" t="s">
        <v>543</v>
      </c>
      <c r="N305" t="s">
        <v>549</v>
      </c>
    </row>
    <row r="306" spans="1:14" x14ac:dyDescent="0.3">
      <c r="A306" t="s">
        <v>318</v>
      </c>
      <c r="B306" s="3">
        <v>45436</v>
      </c>
      <c r="C306" t="s">
        <v>520</v>
      </c>
      <c r="D306" t="s">
        <v>524</v>
      </c>
      <c r="E306" t="s">
        <v>537</v>
      </c>
      <c r="F306">
        <v>17</v>
      </c>
      <c r="G306">
        <v>16</v>
      </c>
      <c r="H306">
        <v>176</v>
      </c>
      <c r="I306">
        <v>2816</v>
      </c>
      <c r="J306">
        <v>0.1</v>
      </c>
      <c r="K306">
        <v>281.60000000000002</v>
      </c>
      <c r="L306">
        <v>3097.6</v>
      </c>
      <c r="M306" t="s">
        <v>541</v>
      </c>
      <c r="N306" t="s">
        <v>546</v>
      </c>
    </row>
    <row r="307" spans="1:14" x14ac:dyDescent="0.3">
      <c r="A307" t="s">
        <v>319</v>
      </c>
      <c r="B307" s="3">
        <v>45546</v>
      </c>
      <c r="C307" t="s">
        <v>521</v>
      </c>
      <c r="D307" t="s">
        <v>531</v>
      </c>
      <c r="E307" t="s">
        <v>539</v>
      </c>
      <c r="F307">
        <v>82</v>
      </c>
      <c r="G307">
        <v>69</v>
      </c>
      <c r="H307">
        <v>158</v>
      </c>
      <c r="I307">
        <v>10902</v>
      </c>
      <c r="J307">
        <v>0.22</v>
      </c>
      <c r="K307">
        <v>2398.44</v>
      </c>
      <c r="L307">
        <v>13300.44</v>
      </c>
      <c r="M307" t="s">
        <v>542</v>
      </c>
      <c r="N307" t="s">
        <v>547</v>
      </c>
    </row>
    <row r="308" spans="1:14" x14ac:dyDescent="0.3">
      <c r="A308" t="s">
        <v>320</v>
      </c>
      <c r="B308" s="3">
        <v>45802</v>
      </c>
      <c r="C308" t="s">
        <v>516</v>
      </c>
      <c r="D308" t="s">
        <v>533</v>
      </c>
      <c r="E308" t="s">
        <v>540</v>
      </c>
      <c r="F308">
        <v>12</v>
      </c>
      <c r="G308">
        <v>12</v>
      </c>
      <c r="H308">
        <v>84</v>
      </c>
      <c r="I308">
        <v>1008</v>
      </c>
      <c r="J308">
        <v>0.1</v>
      </c>
      <c r="K308">
        <v>100.8</v>
      </c>
      <c r="L308">
        <v>1108.8</v>
      </c>
      <c r="M308" t="s">
        <v>543</v>
      </c>
      <c r="N308" t="s">
        <v>550</v>
      </c>
    </row>
    <row r="309" spans="1:14" x14ac:dyDescent="0.3">
      <c r="A309" t="s">
        <v>321</v>
      </c>
      <c r="B309" s="3">
        <v>45384</v>
      </c>
      <c r="C309" t="s">
        <v>515</v>
      </c>
      <c r="D309" t="s">
        <v>528</v>
      </c>
      <c r="E309" t="s">
        <v>540</v>
      </c>
      <c r="F309">
        <v>48</v>
      </c>
      <c r="G309">
        <v>52</v>
      </c>
      <c r="H309">
        <v>182</v>
      </c>
      <c r="I309">
        <v>9464</v>
      </c>
      <c r="J309">
        <v>0.1</v>
      </c>
      <c r="K309">
        <v>946.4</v>
      </c>
      <c r="L309">
        <v>10410.4</v>
      </c>
      <c r="M309" t="s">
        <v>542</v>
      </c>
      <c r="N309" t="s">
        <v>553</v>
      </c>
    </row>
    <row r="310" spans="1:14" x14ac:dyDescent="0.3">
      <c r="A310" t="s">
        <v>322</v>
      </c>
      <c r="B310" s="3">
        <v>45653</v>
      </c>
      <c r="C310" t="s">
        <v>514</v>
      </c>
      <c r="D310" t="s">
        <v>524</v>
      </c>
      <c r="E310" t="s">
        <v>537</v>
      </c>
      <c r="F310">
        <v>59</v>
      </c>
      <c r="G310">
        <v>53</v>
      </c>
      <c r="H310">
        <v>210</v>
      </c>
      <c r="I310">
        <v>11130</v>
      </c>
      <c r="J310">
        <v>0.22</v>
      </c>
      <c r="K310">
        <v>2448.6</v>
      </c>
      <c r="L310">
        <v>13578.6</v>
      </c>
      <c r="M310" t="s">
        <v>541</v>
      </c>
      <c r="N310" t="s">
        <v>552</v>
      </c>
    </row>
    <row r="311" spans="1:14" x14ac:dyDescent="0.3">
      <c r="A311" t="s">
        <v>323</v>
      </c>
      <c r="B311" s="3">
        <v>45584</v>
      </c>
      <c r="C311" t="s">
        <v>516</v>
      </c>
      <c r="D311" t="s">
        <v>524</v>
      </c>
      <c r="E311" t="s">
        <v>538</v>
      </c>
      <c r="F311">
        <v>15</v>
      </c>
      <c r="G311">
        <v>16</v>
      </c>
      <c r="H311">
        <v>116</v>
      </c>
      <c r="I311">
        <v>1856</v>
      </c>
      <c r="J311">
        <v>0.22</v>
      </c>
      <c r="K311">
        <v>408.32</v>
      </c>
      <c r="L311">
        <v>2264.3200000000002</v>
      </c>
      <c r="M311" t="s">
        <v>542</v>
      </c>
      <c r="N311" t="s">
        <v>548</v>
      </c>
    </row>
    <row r="312" spans="1:14" x14ac:dyDescent="0.3">
      <c r="A312" t="s">
        <v>324</v>
      </c>
      <c r="B312" s="3">
        <v>45666</v>
      </c>
      <c r="C312" t="s">
        <v>515</v>
      </c>
      <c r="D312" t="s">
        <v>531</v>
      </c>
      <c r="E312" t="s">
        <v>535</v>
      </c>
      <c r="F312">
        <v>38</v>
      </c>
      <c r="G312">
        <v>39</v>
      </c>
      <c r="H312">
        <v>168</v>
      </c>
      <c r="I312">
        <v>6552</v>
      </c>
      <c r="J312">
        <v>0.22</v>
      </c>
      <c r="K312">
        <v>1441.44</v>
      </c>
      <c r="L312">
        <v>7993.4400000000014</v>
      </c>
      <c r="M312" t="s">
        <v>541</v>
      </c>
      <c r="N312" t="s">
        <v>545</v>
      </c>
    </row>
    <row r="313" spans="1:14" x14ac:dyDescent="0.3">
      <c r="A313" t="s">
        <v>325</v>
      </c>
      <c r="B313" s="3">
        <v>45491</v>
      </c>
      <c r="C313" t="s">
        <v>518</v>
      </c>
      <c r="D313" t="s">
        <v>528</v>
      </c>
      <c r="E313" t="s">
        <v>537</v>
      </c>
      <c r="F313">
        <v>44</v>
      </c>
      <c r="G313">
        <v>53</v>
      </c>
      <c r="H313">
        <v>101</v>
      </c>
      <c r="I313">
        <v>5353</v>
      </c>
      <c r="J313">
        <v>0.22</v>
      </c>
      <c r="K313">
        <v>1177.6600000000001</v>
      </c>
      <c r="L313">
        <v>6530.66</v>
      </c>
      <c r="M313" t="s">
        <v>541</v>
      </c>
      <c r="N313" t="s">
        <v>552</v>
      </c>
    </row>
    <row r="314" spans="1:14" x14ac:dyDescent="0.3">
      <c r="A314" t="s">
        <v>326</v>
      </c>
      <c r="B314" s="3">
        <v>45578</v>
      </c>
      <c r="C314" t="s">
        <v>520</v>
      </c>
      <c r="D314" t="s">
        <v>532</v>
      </c>
      <c r="E314" t="s">
        <v>535</v>
      </c>
      <c r="F314">
        <v>47</v>
      </c>
      <c r="G314">
        <v>58</v>
      </c>
      <c r="H314">
        <v>226</v>
      </c>
      <c r="I314">
        <v>13108</v>
      </c>
      <c r="J314">
        <v>0.22</v>
      </c>
      <c r="K314">
        <v>2883.76</v>
      </c>
      <c r="L314">
        <v>15991.76</v>
      </c>
      <c r="M314" t="s">
        <v>543</v>
      </c>
      <c r="N314" t="s">
        <v>545</v>
      </c>
    </row>
    <row r="315" spans="1:14" x14ac:dyDescent="0.3">
      <c r="A315" t="s">
        <v>327</v>
      </c>
      <c r="B315" s="3">
        <v>45666</v>
      </c>
      <c r="C315" t="s">
        <v>521</v>
      </c>
      <c r="D315" t="s">
        <v>525</v>
      </c>
      <c r="E315" t="s">
        <v>539</v>
      </c>
      <c r="F315">
        <v>17</v>
      </c>
      <c r="G315">
        <v>14</v>
      </c>
      <c r="H315">
        <v>282</v>
      </c>
      <c r="I315">
        <v>3948</v>
      </c>
      <c r="J315">
        <v>0.22</v>
      </c>
      <c r="K315">
        <v>868.56</v>
      </c>
      <c r="L315">
        <v>4816.5599999999986</v>
      </c>
      <c r="M315" t="s">
        <v>541</v>
      </c>
      <c r="N315" t="s">
        <v>550</v>
      </c>
    </row>
    <row r="316" spans="1:14" x14ac:dyDescent="0.3">
      <c r="A316" t="s">
        <v>328</v>
      </c>
      <c r="B316" s="3">
        <v>45338</v>
      </c>
      <c r="C316" t="s">
        <v>514</v>
      </c>
      <c r="D316" t="s">
        <v>532</v>
      </c>
      <c r="E316" t="s">
        <v>536</v>
      </c>
      <c r="F316">
        <v>6</v>
      </c>
      <c r="G316">
        <v>5</v>
      </c>
      <c r="H316">
        <v>222</v>
      </c>
      <c r="I316">
        <v>1110</v>
      </c>
      <c r="J316">
        <v>0.22</v>
      </c>
      <c r="K316">
        <v>244.2</v>
      </c>
      <c r="L316">
        <v>1354.2</v>
      </c>
      <c r="M316" t="s">
        <v>543</v>
      </c>
      <c r="N316" t="s">
        <v>545</v>
      </c>
    </row>
    <row r="317" spans="1:14" x14ac:dyDescent="0.3">
      <c r="A317" t="s">
        <v>329</v>
      </c>
      <c r="B317" s="3">
        <v>45759</v>
      </c>
      <c r="C317" t="s">
        <v>521</v>
      </c>
      <c r="D317" t="s">
        <v>526</v>
      </c>
      <c r="E317" t="s">
        <v>539</v>
      </c>
      <c r="F317">
        <v>81</v>
      </c>
      <c r="G317">
        <v>75</v>
      </c>
      <c r="H317">
        <v>205</v>
      </c>
      <c r="I317">
        <v>15375</v>
      </c>
      <c r="J317">
        <v>0</v>
      </c>
      <c r="K317">
        <v>0</v>
      </c>
      <c r="L317">
        <v>15375</v>
      </c>
      <c r="M317" t="s">
        <v>542</v>
      </c>
      <c r="N317" t="s">
        <v>551</v>
      </c>
    </row>
    <row r="318" spans="1:14" x14ac:dyDescent="0.3">
      <c r="A318" t="s">
        <v>330</v>
      </c>
      <c r="B318" s="3">
        <v>45618</v>
      </c>
      <c r="C318" t="s">
        <v>521</v>
      </c>
      <c r="D318" t="s">
        <v>530</v>
      </c>
      <c r="E318" t="s">
        <v>539</v>
      </c>
      <c r="F318">
        <v>73</v>
      </c>
      <c r="G318">
        <v>76</v>
      </c>
      <c r="H318">
        <v>68</v>
      </c>
      <c r="I318">
        <v>5168</v>
      </c>
      <c r="J318">
        <v>0.22</v>
      </c>
      <c r="K318">
        <v>1136.96</v>
      </c>
      <c r="L318">
        <v>6304.96</v>
      </c>
      <c r="M318" t="s">
        <v>543</v>
      </c>
      <c r="N318" t="s">
        <v>553</v>
      </c>
    </row>
    <row r="319" spans="1:14" x14ac:dyDescent="0.3">
      <c r="A319" t="s">
        <v>331</v>
      </c>
      <c r="B319" s="3">
        <v>45636</v>
      </c>
      <c r="C319" t="s">
        <v>516</v>
      </c>
      <c r="D319" t="s">
        <v>528</v>
      </c>
      <c r="E319" t="s">
        <v>539</v>
      </c>
      <c r="F319">
        <v>64</v>
      </c>
      <c r="G319">
        <v>74</v>
      </c>
      <c r="H319">
        <v>245</v>
      </c>
      <c r="I319">
        <v>18130</v>
      </c>
      <c r="J319">
        <v>0.22</v>
      </c>
      <c r="K319">
        <v>3988.6</v>
      </c>
      <c r="L319">
        <v>22118.6</v>
      </c>
      <c r="M319" t="s">
        <v>541</v>
      </c>
      <c r="N319" t="s">
        <v>548</v>
      </c>
    </row>
    <row r="320" spans="1:14" x14ac:dyDescent="0.3">
      <c r="A320" t="s">
        <v>332</v>
      </c>
      <c r="B320" s="3">
        <v>45778</v>
      </c>
      <c r="C320" t="s">
        <v>514</v>
      </c>
      <c r="D320" t="s">
        <v>531</v>
      </c>
      <c r="E320" t="s">
        <v>537</v>
      </c>
      <c r="F320">
        <v>15</v>
      </c>
      <c r="G320">
        <v>17</v>
      </c>
      <c r="H320">
        <v>289</v>
      </c>
      <c r="I320">
        <v>4913</v>
      </c>
      <c r="J320">
        <v>0.22</v>
      </c>
      <c r="K320">
        <v>1080.8599999999999</v>
      </c>
      <c r="L320">
        <v>5993.86</v>
      </c>
      <c r="M320" t="s">
        <v>543</v>
      </c>
      <c r="N320" t="s">
        <v>553</v>
      </c>
    </row>
    <row r="321" spans="1:14" x14ac:dyDescent="0.3">
      <c r="A321" t="s">
        <v>333</v>
      </c>
      <c r="B321" s="3">
        <v>45607</v>
      </c>
      <c r="C321" t="s">
        <v>514</v>
      </c>
      <c r="D321" t="s">
        <v>526</v>
      </c>
      <c r="E321" t="s">
        <v>540</v>
      </c>
      <c r="F321">
        <v>6</v>
      </c>
      <c r="G321">
        <v>7</v>
      </c>
      <c r="H321">
        <v>233</v>
      </c>
      <c r="I321">
        <v>1631</v>
      </c>
      <c r="J321">
        <v>0</v>
      </c>
      <c r="K321">
        <v>0</v>
      </c>
      <c r="L321">
        <v>1631</v>
      </c>
      <c r="M321" t="s">
        <v>543</v>
      </c>
      <c r="N321" t="s">
        <v>553</v>
      </c>
    </row>
    <row r="322" spans="1:14" x14ac:dyDescent="0.3">
      <c r="A322" t="s">
        <v>334</v>
      </c>
      <c r="B322" s="3">
        <v>45525</v>
      </c>
      <c r="C322" t="s">
        <v>514</v>
      </c>
      <c r="D322" t="s">
        <v>526</v>
      </c>
      <c r="E322" t="s">
        <v>540</v>
      </c>
      <c r="F322">
        <v>13</v>
      </c>
      <c r="G322">
        <v>13</v>
      </c>
      <c r="H322">
        <v>227</v>
      </c>
      <c r="I322">
        <v>2951</v>
      </c>
      <c r="J322">
        <v>0</v>
      </c>
      <c r="K322">
        <v>0</v>
      </c>
      <c r="L322">
        <v>2951</v>
      </c>
      <c r="M322" t="s">
        <v>542</v>
      </c>
      <c r="N322" t="s">
        <v>545</v>
      </c>
    </row>
    <row r="323" spans="1:14" x14ac:dyDescent="0.3">
      <c r="A323" t="s">
        <v>335</v>
      </c>
      <c r="B323" s="3">
        <v>45681</v>
      </c>
      <c r="C323" t="s">
        <v>521</v>
      </c>
      <c r="D323" t="s">
        <v>529</v>
      </c>
      <c r="E323" t="s">
        <v>534</v>
      </c>
      <c r="F323">
        <v>46</v>
      </c>
      <c r="G323">
        <v>42</v>
      </c>
      <c r="H323">
        <v>196</v>
      </c>
      <c r="I323">
        <v>8232</v>
      </c>
      <c r="J323">
        <v>0</v>
      </c>
      <c r="K323">
        <v>0</v>
      </c>
      <c r="L323">
        <v>8232</v>
      </c>
      <c r="M323" t="s">
        <v>542</v>
      </c>
      <c r="N323" t="s">
        <v>553</v>
      </c>
    </row>
    <row r="324" spans="1:14" x14ac:dyDescent="0.3">
      <c r="A324" t="s">
        <v>336</v>
      </c>
      <c r="B324" s="3">
        <v>45404</v>
      </c>
      <c r="C324" t="s">
        <v>519</v>
      </c>
      <c r="D324" t="s">
        <v>524</v>
      </c>
      <c r="E324" t="s">
        <v>540</v>
      </c>
      <c r="F324">
        <v>53</v>
      </c>
      <c r="G324">
        <v>50</v>
      </c>
      <c r="H324">
        <v>86</v>
      </c>
      <c r="I324">
        <v>4300</v>
      </c>
      <c r="J324">
        <v>0.22</v>
      </c>
      <c r="K324">
        <v>946</v>
      </c>
      <c r="L324">
        <v>5246</v>
      </c>
      <c r="M324" t="s">
        <v>542</v>
      </c>
      <c r="N324" t="s">
        <v>546</v>
      </c>
    </row>
    <row r="325" spans="1:14" x14ac:dyDescent="0.3">
      <c r="A325" t="s">
        <v>337</v>
      </c>
      <c r="B325" s="3">
        <v>45500</v>
      </c>
      <c r="C325" t="s">
        <v>515</v>
      </c>
      <c r="D325" t="s">
        <v>528</v>
      </c>
      <c r="E325" t="s">
        <v>538</v>
      </c>
      <c r="F325">
        <v>60</v>
      </c>
      <c r="G325">
        <v>66</v>
      </c>
      <c r="H325">
        <v>64</v>
      </c>
      <c r="I325">
        <v>4224</v>
      </c>
      <c r="J325">
        <v>0.22</v>
      </c>
      <c r="K325">
        <v>929.28</v>
      </c>
      <c r="L325">
        <v>5153.28</v>
      </c>
      <c r="M325" t="s">
        <v>543</v>
      </c>
      <c r="N325" t="s">
        <v>550</v>
      </c>
    </row>
    <row r="326" spans="1:14" x14ac:dyDescent="0.3">
      <c r="A326" t="s">
        <v>338</v>
      </c>
      <c r="B326" s="3">
        <v>45433</v>
      </c>
      <c r="C326" t="s">
        <v>516</v>
      </c>
      <c r="D326" t="s">
        <v>525</v>
      </c>
      <c r="E326" t="s">
        <v>539</v>
      </c>
      <c r="F326">
        <v>34</v>
      </c>
      <c r="G326">
        <v>29</v>
      </c>
      <c r="H326">
        <v>224</v>
      </c>
      <c r="I326">
        <v>6496</v>
      </c>
      <c r="J326">
        <v>0.22</v>
      </c>
      <c r="K326">
        <v>1429.12</v>
      </c>
      <c r="L326">
        <v>7925.12</v>
      </c>
      <c r="M326" t="s">
        <v>541</v>
      </c>
      <c r="N326" t="s">
        <v>552</v>
      </c>
    </row>
    <row r="327" spans="1:14" x14ac:dyDescent="0.3">
      <c r="A327" t="s">
        <v>339</v>
      </c>
      <c r="B327" s="3">
        <v>45830</v>
      </c>
      <c r="C327" t="s">
        <v>515</v>
      </c>
      <c r="D327" t="s">
        <v>531</v>
      </c>
      <c r="E327" t="s">
        <v>534</v>
      </c>
      <c r="F327">
        <v>42</v>
      </c>
      <c r="G327">
        <v>38</v>
      </c>
      <c r="H327">
        <v>142</v>
      </c>
      <c r="I327">
        <v>5396</v>
      </c>
      <c r="J327">
        <v>0.22</v>
      </c>
      <c r="K327">
        <v>1187.1199999999999</v>
      </c>
      <c r="L327">
        <v>6583.12</v>
      </c>
      <c r="M327" t="s">
        <v>541</v>
      </c>
      <c r="N327" t="s">
        <v>551</v>
      </c>
    </row>
    <row r="328" spans="1:14" x14ac:dyDescent="0.3">
      <c r="A328" t="s">
        <v>340</v>
      </c>
      <c r="B328" s="3">
        <v>45654</v>
      </c>
      <c r="C328" t="s">
        <v>522</v>
      </c>
      <c r="D328" t="s">
        <v>526</v>
      </c>
      <c r="E328" t="s">
        <v>540</v>
      </c>
      <c r="F328">
        <v>8</v>
      </c>
      <c r="G328">
        <v>8</v>
      </c>
      <c r="H328">
        <v>299</v>
      </c>
      <c r="I328">
        <v>2392</v>
      </c>
      <c r="J328">
        <v>0</v>
      </c>
      <c r="K328">
        <v>0</v>
      </c>
      <c r="L328">
        <v>2392</v>
      </c>
      <c r="M328" t="s">
        <v>542</v>
      </c>
      <c r="N328" t="s">
        <v>549</v>
      </c>
    </row>
    <row r="329" spans="1:14" x14ac:dyDescent="0.3">
      <c r="A329" t="s">
        <v>341</v>
      </c>
      <c r="B329" s="3">
        <v>45577</v>
      </c>
      <c r="C329" t="s">
        <v>516</v>
      </c>
      <c r="D329" t="s">
        <v>523</v>
      </c>
      <c r="E329" t="s">
        <v>534</v>
      </c>
      <c r="F329">
        <v>68</v>
      </c>
      <c r="G329">
        <v>65</v>
      </c>
      <c r="H329">
        <v>145</v>
      </c>
      <c r="I329">
        <v>9425</v>
      </c>
      <c r="J329">
        <v>0.1</v>
      </c>
      <c r="K329">
        <v>942.5</v>
      </c>
      <c r="L329">
        <v>10367.5</v>
      </c>
      <c r="M329" t="s">
        <v>543</v>
      </c>
      <c r="N329" t="s">
        <v>548</v>
      </c>
    </row>
    <row r="330" spans="1:14" x14ac:dyDescent="0.3">
      <c r="A330" t="s">
        <v>342</v>
      </c>
      <c r="B330" s="3">
        <v>45504</v>
      </c>
      <c r="C330" t="s">
        <v>517</v>
      </c>
      <c r="D330" t="s">
        <v>531</v>
      </c>
      <c r="E330" t="s">
        <v>540</v>
      </c>
      <c r="F330">
        <v>16</v>
      </c>
      <c r="G330">
        <v>17</v>
      </c>
      <c r="H330">
        <v>130</v>
      </c>
      <c r="I330">
        <v>2210</v>
      </c>
      <c r="J330">
        <v>0.22</v>
      </c>
      <c r="K330">
        <v>486.2</v>
      </c>
      <c r="L330">
        <v>2696.2</v>
      </c>
      <c r="M330" t="s">
        <v>541</v>
      </c>
      <c r="N330" t="s">
        <v>548</v>
      </c>
    </row>
    <row r="331" spans="1:14" x14ac:dyDescent="0.3">
      <c r="A331" t="s">
        <v>343</v>
      </c>
      <c r="B331" s="3">
        <v>45586</v>
      </c>
      <c r="C331" t="s">
        <v>520</v>
      </c>
      <c r="D331" t="s">
        <v>526</v>
      </c>
      <c r="E331" t="s">
        <v>536</v>
      </c>
      <c r="F331">
        <v>40</v>
      </c>
      <c r="G331">
        <v>45</v>
      </c>
      <c r="H331">
        <v>191</v>
      </c>
      <c r="I331">
        <v>8595</v>
      </c>
      <c r="J331">
        <v>0</v>
      </c>
      <c r="K331">
        <v>0</v>
      </c>
      <c r="L331">
        <v>8595</v>
      </c>
      <c r="M331" t="s">
        <v>541</v>
      </c>
      <c r="N331" t="s">
        <v>546</v>
      </c>
    </row>
    <row r="332" spans="1:14" x14ac:dyDescent="0.3">
      <c r="A332" t="s">
        <v>344</v>
      </c>
      <c r="B332" s="3">
        <v>45696</v>
      </c>
      <c r="C332" t="s">
        <v>518</v>
      </c>
      <c r="D332" t="s">
        <v>532</v>
      </c>
      <c r="E332" t="s">
        <v>537</v>
      </c>
      <c r="F332">
        <v>34</v>
      </c>
      <c r="G332">
        <v>36</v>
      </c>
      <c r="H332">
        <v>129</v>
      </c>
      <c r="I332">
        <v>4644</v>
      </c>
      <c r="J332">
        <v>0.22</v>
      </c>
      <c r="K332">
        <v>1021.68</v>
      </c>
      <c r="L332">
        <v>5665.68</v>
      </c>
      <c r="M332" t="s">
        <v>541</v>
      </c>
      <c r="N332" t="s">
        <v>544</v>
      </c>
    </row>
    <row r="333" spans="1:14" x14ac:dyDescent="0.3">
      <c r="A333" t="s">
        <v>345</v>
      </c>
      <c r="B333" s="3">
        <v>45646</v>
      </c>
      <c r="C333" t="s">
        <v>517</v>
      </c>
      <c r="D333" t="s">
        <v>529</v>
      </c>
      <c r="E333" t="s">
        <v>537</v>
      </c>
      <c r="F333">
        <v>34</v>
      </c>
      <c r="G333">
        <v>31</v>
      </c>
      <c r="H333">
        <v>78</v>
      </c>
      <c r="I333">
        <v>2418</v>
      </c>
      <c r="J333">
        <v>0</v>
      </c>
      <c r="K333">
        <v>0</v>
      </c>
      <c r="L333">
        <v>2418</v>
      </c>
      <c r="M333" t="s">
        <v>541</v>
      </c>
      <c r="N333" t="s">
        <v>552</v>
      </c>
    </row>
    <row r="334" spans="1:14" x14ac:dyDescent="0.3">
      <c r="A334" t="s">
        <v>346</v>
      </c>
      <c r="B334" s="3">
        <v>45511</v>
      </c>
      <c r="C334" t="s">
        <v>519</v>
      </c>
      <c r="D334" t="s">
        <v>528</v>
      </c>
      <c r="E334" t="s">
        <v>537</v>
      </c>
      <c r="F334">
        <v>49</v>
      </c>
      <c r="G334">
        <v>61</v>
      </c>
      <c r="H334">
        <v>167</v>
      </c>
      <c r="I334">
        <v>10187</v>
      </c>
      <c r="J334">
        <v>0.1</v>
      </c>
      <c r="K334">
        <v>1018.7</v>
      </c>
      <c r="L334">
        <v>11205.7</v>
      </c>
      <c r="M334" t="s">
        <v>541</v>
      </c>
      <c r="N334" t="s">
        <v>548</v>
      </c>
    </row>
    <row r="335" spans="1:14" x14ac:dyDescent="0.3">
      <c r="A335" t="s">
        <v>347</v>
      </c>
      <c r="B335" s="3">
        <v>45432</v>
      </c>
      <c r="C335" t="s">
        <v>520</v>
      </c>
      <c r="D335" t="s">
        <v>526</v>
      </c>
      <c r="E335" t="s">
        <v>536</v>
      </c>
      <c r="F335">
        <v>46</v>
      </c>
      <c r="G335">
        <v>54</v>
      </c>
      <c r="H335">
        <v>226</v>
      </c>
      <c r="I335">
        <v>12204</v>
      </c>
      <c r="J335">
        <v>0</v>
      </c>
      <c r="K335">
        <v>0</v>
      </c>
      <c r="L335">
        <v>12204</v>
      </c>
      <c r="M335" t="s">
        <v>541</v>
      </c>
      <c r="N335" t="s">
        <v>549</v>
      </c>
    </row>
    <row r="336" spans="1:14" x14ac:dyDescent="0.3">
      <c r="A336" t="s">
        <v>348</v>
      </c>
      <c r="B336" s="3">
        <v>45540</v>
      </c>
      <c r="C336" t="s">
        <v>514</v>
      </c>
      <c r="D336" t="s">
        <v>529</v>
      </c>
      <c r="E336" t="s">
        <v>539</v>
      </c>
      <c r="F336">
        <v>61</v>
      </c>
      <c r="G336">
        <v>74</v>
      </c>
      <c r="H336">
        <v>149</v>
      </c>
      <c r="I336">
        <v>11026</v>
      </c>
      <c r="J336">
        <v>0</v>
      </c>
      <c r="K336">
        <v>0</v>
      </c>
      <c r="L336">
        <v>11026</v>
      </c>
      <c r="M336" t="s">
        <v>542</v>
      </c>
      <c r="N336" t="s">
        <v>549</v>
      </c>
    </row>
    <row r="337" spans="1:14" x14ac:dyDescent="0.3">
      <c r="A337" t="s">
        <v>349</v>
      </c>
      <c r="B337" s="3">
        <v>45345</v>
      </c>
      <c r="C337" t="s">
        <v>520</v>
      </c>
      <c r="D337" t="s">
        <v>530</v>
      </c>
      <c r="E337" t="s">
        <v>537</v>
      </c>
      <c r="F337">
        <v>16</v>
      </c>
      <c r="G337">
        <v>19</v>
      </c>
      <c r="H337">
        <v>98</v>
      </c>
      <c r="I337">
        <v>1862</v>
      </c>
      <c r="J337">
        <v>0.22</v>
      </c>
      <c r="K337">
        <v>409.64</v>
      </c>
      <c r="L337">
        <v>2271.64</v>
      </c>
      <c r="M337" t="s">
        <v>542</v>
      </c>
      <c r="N337" t="s">
        <v>547</v>
      </c>
    </row>
    <row r="338" spans="1:14" x14ac:dyDescent="0.3">
      <c r="A338" t="s">
        <v>350</v>
      </c>
      <c r="B338" s="3">
        <v>45297</v>
      </c>
      <c r="C338" t="s">
        <v>516</v>
      </c>
      <c r="D338" t="s">
        <v>532</v>
      </c>
      <c r="E338" t="s">
        <v>540</v>
      </c>
      <c r="F338">
        <v>77</v>
      </c>
      <c r="G338">
        <v>67</v>
      </c>
      <c r="H338">
        <v>232</v>
      </c>
      <c r="I338">
        <v>15544</v>
      </c>
      <c r="J338">
        <v>0.22</v>
      </c>
      <c r="K338">
        <v>3419.68</v>
      </c>
      <c r="L338">
        <v>18963.68</v>
      </c>
      <c r="M338" t="s">
        <v>543</v>
      </c>
      <c r="N338" t="s">
        <v>552</v>
      </c>
    </row>
    <row r="339" spans="1:14" x14ac:dyDescent="0.3">
      <c r="A339" t="s">
        <v>351</v>
      </c>
      <c r="B339" s="3">
        <v>45496</v>
      </c>
      <c r="C339" t="s">
        <v>522</v>
      </c>
      <c r="D339" t="s">
        <v>531</v>
      </c>
      <c r="E339" t="s">
        <v>537</v>
      </c>
      <c r="F339">
        <v>14</v>
      </c>
      <c r="G339">
        <v>13</v>
      </c>
      <c r="H339">
        <v>279</v>
      </c>
      <c r="I339">
        <v>3627</v>
      </c>
      <c r="J339">
        <v>0.22</v>
      </c>
      <c r="K339">
        <v>797.94</v>
      </c>
      <c r="L339">
        <v>4424.9400000000014</v>
      </c>
      <c r="M339" t="s">
        <v>542</v>
      </c>
      <c r="N339" t="s">
        <v>553</v>
      </c>
    </row>
    <row r="340" spans="1:14" x14ac:dyDescent="0.3">
      <c r="A340" t="s">
        <v>352</v>
      </c>
      <c r="B340" s="3">
        <v>45529</v>
      </c>
      <c r="C340" t="s">
        <v>516</v>
      </c>
      <c r="D340" t="s">
        <v>524</v>
      </c>
      <c r="E340" t="s">
        <v>534</v>
      </c>
      <c r="F340">
        <v>57</v>
      </c>
      <c r="G340">
        <v>58</v>
      </c>
      <c r="H340">
        <v>207</v>
      </c>
      <c r="I340">
        <v>12006</v>
      </c>
      <c r="J340">
        <v>0.22</v>
      </c>
      <c r="K340">
        <v>2641.32</v>
      </c>
      <c r="L340">
        <v>14647.32</v>
      </c>
      <c r="M340" t="s">
        <v>542</v>
      </c>
      <c r="N340" t="s">
        <v>550</v>
      </c>
    </row>
    <row r="341" spans="1:14" x14ac:dyDescent="0.3">
      <c r="A341" t="s">
        <v>353</v>
      </c>
      <c r="B341" s="3">
        <v>45698</v>
      </c>
      <c r="C341" t="s">
        <v>517</v>
      </c>
      <c r="D341" t="s">
        <v>532</v>
      </c>
      <c r="E341" t="s">
        <v>536</v>
      </c>
      <c r="F341">
        <v>60</v>
      </c>
      <c r="G341">
        <v>72</v>
      </c>
      <c r="H341">
        <v>120</v>
      </c>
      <c r="I341">
        <v>8640</v>
      </c>
      <c r="J341">
        <v>0.1</v>
      </c>
      <c r="K341">
        <v>864</v>
      </c>
      <c r="L341">
        <v>9504</v>
      </c>
      <c r="M341" t="s">
        <v>543</v>
      </c>
      <c r="N341" t="s">
        <v>550</v>
      </c>
    </row>
    <row r="342" spans="1:14" x14ac:dyDescent="0.3">
      <c r="A342" t="s">
        <v>354</v>
      </c>
      <c r="B342" s="3">
        <v>45301</v>
      </c>
      <c r="C342" t="s">
        <v>522</v>
      </c>
      <c r="D342" t="s">
        <v>526</v>
      </c>
      <c r="E342" t="s">
        <v>539</v>
      </c>
      <c r="F342">
        <v>39</v>
      </c>
      <c r="G342">
        <v>39</v>
      </c>
      <c r="H342">
        <v>60</v>
      </c>
      <c r="I342">
        <v>2340</v>
      </c>
      <c r="J342">
        <v>0</v>
      </c>
      <c r="K342">
        <v>0</v>
      </c>
      <c r="L342">
        <v>2340</v>
      </c>
      <c r="M342" t="s">
        <v>542</v>
      </c>
      <c r="N342" t="s">
        <v>551</v>
      </c>
    </row>
    <row r="343" spans="1:14" x14ac:dyDescent="0.3">
      <c r="A343" t="s">
        <v>355</v>
      </c>
      <c r="B343" s="3">
        <v>45583</v>
      </c>
      <c r="C343" t="s">
        <v>517</v>
      </c>
      <c r="D343" t="s">
        <v>529</v>
      </c>
      <c r="E343" t="s">
        <v>539</v>
      </c>
      <c r="F343">
        <v>3</v>
      </c>
      <c r="G343">
        <v>3</v>
      </c>
      <c r="H343">
        <v>264</v>
      </c>
      <c r="I343">
        <v>792</v>
      </c>
      <c r="J343">
        <v>0</v>
      </c>
      <c r="K343">
        <v>0</v>
      </c>
      <c r="L343">
        <v>792</v>
      </c>
      <c r="M343" t="s">
        <v>541</v>
      </c>
      <c r="N343" t="s">
        <v>552</v>
      </c>
    </row>
    <row r="344" spans="1:14" x14ac:dyDescent="0.3">
      <c r="A344" t="s">
        <v>356</v>
      </c>
      <c r="B344" s="3">
        <v>45429</v>
      </c>
      <c r="C344" t="s">
        <v>516</v>
      </c>
      <c r="D344" t="s">
        <v>533</v>
      </c>
      <c r="E344" t="s">
        <v>537</v>
      </c>
      <c r="F344">
        <v>54</v>
      </c>
      <c r="G344">
        <v>62</v>
      </c>
      <c r="H344">
        <v>250</v>
      </c>
      <c r="I344">
        <v>15500</v>
      </c>
      <c r="J344">
        <v>0.22</v>
      </c>
      <c r="K344">
        <v>3410</v>
      </c>
      <c r="L344">
        <v>18910</v>
      </c>
      <c r="M344" t="s">
        <v>542</v>
      </c>
      <c r="N344" t="s">
        <v>551</v>
      </c>
    </row>
    <row r="345" spans="1:14" x14ac:dyDescent="0.3">
      <c r="A345" t="s">
        <v>357</v>
      </c>
      <c r="B345" s="3">
        <v>45458</v>
      </c>
      <c r="C345" t="s">
        <v>517</v>
      </c>
      <c r="D345" t="s">
        <v>529</v>
      </c>
      <c r="E345" t="s">
        <v>537</v>
      </c>
      <c r="F345">
        <v>24</v>
      </c>
      <c r="G345">
        <v>25</v>
      </c>
      <c r="H345">
        <v>115</v>
      </c>
      <c r="I345">
        <v>2875</v>
      </c>
      <c r="J345">
        <v>0</v>
      </c>
      <c r="K345">
        <v>0</v>
      </c>
      <c r="L345">
        <v>2875</v>
      </c>
      <c r="M345" t="s">
        <v>541</v>
      </c>
      <c r="N345" t="s">
        <v>547</v>
      </c>
    </row>
    <row r="346" spans="1:14" x14ac:dyDescent="0.3">
      <c r="A346" t="s">
        <v>358</v>
      </c>
      <c r="B346" s="3">
        <v>45306</v>
      </c>
      <c r="C346" t="s">
        <v>518</v>
      </c>
      <c r="D346" t="s">
        <v>523</v>
      </c>
      <c r="E346" t="s">
        <v>539</v>
      </c>
      <c r="F346">
        <v>32</v>
      </c>
      <c r="G346">
        <v>33</v>
      </c>
      <c r="H346">
        <v>225</v>
      </c>
      <c r="I346">
        <v>7425</v>
      </c>
      <c r="J346">
        <v>0.22</v>
      </c>
      <c r="K346">
        <v>1633.5</v>
      </c>
      <c r="L346">
        <v>9058.5</v>
      </c>
      <c r="M346" t="s">
        <v>542</v>
      </c>
      <c r="N346" t="s">
        <v>547</v>
      </c>
    </row>
    <row r="347" spans="1:14" x14ac:dyDescent="0.3">
      <c r="A347" t="s">
        <v>359</v>
      </c>
      <c r="B347" s="3">
        <v>45707</v>
      </c>
      <c r="C347" t="s">
        <v>515</v>
      </c>
      <c r="D347" t="s">
        <v>528</v>
      </c>
      <c r="E347" t="s">
        <v>537</v>
      </c>
      <c r="F347">
        <v>6</v>
      </c>
      <c r="G347">
        <v>6</v>
      </c>
      <c r="H347">
        <v>117</v>
      </c>
      <c r="I347">
        <v>702</v>
      </c>
      <c r="J347">
        <v>0.22</v>
      </c>
      <c r="K347">
        <v>154.44</v>
      </c>
      <c r="L347">
        <v>856.44</v>
      </c>
      <c r="M347" t="s">
        <v>541</v>
      </c>
      <c r="N347" t="s">
        <v>544</v>
      </c>
    </row>
    <row r="348" spans="1:14" x14ac:dyDescent="0.3">
      <c r="A348" t="s">
        <v>360</v>
      </c>
      <c r="B348" s="3">
        <v>45481</v>
      </c>
      <c r="C348" t="s">
        <v>521</v>
      </c>
      <c r="D348" t="s">
        <v>533</v>
      </c>
      <c r="E348" t="s">
        <v>537</v>
      </c>
      <c r="F348">
        <v>46</v>
      </c>
      <c r="G348">
        <v>44</v>
      </c>
      <c r="H348">
        <v>232</v>
      </c>
      <c r="I348">
        <v>10208</v>
      </c>
      <c r="J348">
        <v>0.1</v>
      </c>
      <c r="K348">
        <v>1020.8</v>
      </c>
      <c r="L348">
        <v>11228.8</v>
      </c>
      <c r="M348" t="s">
        <v>542</v>
      </c>
      <c r="N348" t="s">
        <v>548</v>
      </c>
    </row>
    <row r="349" spans="1:14" x14ac:dyDescent="0.3">
      <c r="A349" t="s">
        <v>361</v>
      </c>
      <c r="B349" s="3">
        <v>45684</v>
      </c>
      <c r="C349" t="s">
        <v>519</v>
      </c>
      <c r="D349" t="s">
        <v>533</v>
      </c>
      <c r="E349" t="s">
        <v>538</v>
      </c>
      <c r="F349">
        <v>26</v>
      </c>
      <c r="G349">
        <v>32</v>
      </c>
      <c r="H349">
        <v>232</v>
      </c>
      <c r="I349">
        <v>7424</v>
      </c>
      <c r="J349">
        <v>0.22</v>
      </c>
      <c r="K349">
        <v>1633.28</v>
      </c>
      <c r="L349">
        <v>9057.2800000000007</v>
      </c>
      <c r="M349" t="s">
        <v>543</v>
      </c>
      <c r="N349" t="s">
        <v>548</v>
      </c>
    </row>
    <row r="350" spans="1:14" x14ac:dyDescent="0.3">
      <c r="A350" t="s">
        <v>362</v>
      </c>
      <c r="B350" s="3">
        <v>45303</v>
      </c>
      <c r="C350" t="s">
        <v>522</v>
      </c>
      <c r="D350" t="s">
        <v>529</v>
      </c>
      <c r="E350" t="s">
        <v>537</v>
      </c>
      <c r="F350">
        <v>58</v>
      </c>
      <c r="G350">
        <v>61</v>
      </c>
      <c r="H350">
        <v>106</v>
      </c>
      <c r="I350">
        <v>6466</v>
      </c>
      <c r="J350">
        <v>0</v>
      </c>
      <c r="K350">
        <v>0</v>
      </c>
      <c r="L350">
        <v>6466</v>
      </c>
      <c r="M350" t="s">
        <v>541</v>
      </c>
      <c r="N350" t="s">
        <v>549</v>
      </c>
    </row>
    <row r="351" spans="1:14" x14ac:dyDescent="0.3">
      <c r="A351" t="s">
        <v>363</v>
      </c>
      <c r="B351" s="3">
        <v>45355</v>
      </c>
      <c r="C351" t="s">
        <v>520</v>
      </c>
      <c r="D351" t="s">
        <v>533</v>
      </c>
      <c r="E351" t="s">
        <v>537</v>
      </c>
      <c r="F351">
        <v>22</v>
      </c>
      <c r="G351">
        <v>21</v>
      </c>
      <c r="H351">
        <v>139</v>
      </c>
      <c r="I351">
        <v>2919</v>
      </c>
      <c r="J351">
        <v>0.22</v>
      </c>
      <c r="K351">
        <v>642.17999999999995</v>
      </c>
      <c r="L351">
        <v>3561.18</v>
      </c>
      <c r="M351" t="s">
        <v>541</v>
      </c>
      <c r="N351" t="s">
        <v>545</v>
      </c>
    </row>
    <row r="352" spans="1:14" x14ac:dyDescent="0.3">
      <c r="A352" t="s">
        <v>364</v>
      </c>
      <c r="B352" s="3">
        <v>45610</v>
      </c>
      <c r="C352" t="s">
        <v>520</v>
      </c>
      <c r="D352" t="s">
        <v>529</v>
      </c>
      <c r="E352" t="s">
        <v>537</v>
      </c>
      <c r="F352">
        <v>75</v>
      </c>
      <c r="G352">
        <v>75</v>
      </c>
      <c r="H352">
        <v>288</v>
      </c>
      <c r="I352">
        <v>21600</v>
      </c>
      <c r="J352">
        <v>0</v>
      </c>
      <c r="K352">
        <v>0</v>
      </c>
      <c r="L352">
        <v>21600</v>
      </c>
      <c r="M352" t="s">
        <v>543</v>
      </c>
      <c r="N352" t="s">
        <v>553</v>
      </c>
    </row>
    <row r="353" spans="1:14" x14ac:dyDescent="0.3">
      <c r="A353" t="s">
        <v>365</v>
      </c>
      <c r="B353" s="3">
        <v>45518</v>
      </c>
      <c r="C353" t="s">
        <v>519</v>
      </c>
      <c r="D353" t="s">
        <v>532</v>
      </c>
      <c r="E353" t="s">
        <v>540</v>
      </c>
      <c r="F353">
        <v>41</v>
      </c>
      <c r="G353">
        <v>36</v>
      </c>
      <c r="H353">
        <v>286</v>
      </c>
      <c r="I353">
        <v>10296</v>
      </c>
      <c r="J353">
        <v>0.22</v>
      </c>
      <c r="K353">
        <v>2265.12</v>
      </c>
      <c r="L353">
        <v>12561.12</v>
      </c>
      <c r="M353" t="s">
        <v>541</v>
      </c>
      <c r="N353" t="s">
        <v>553</v>
      </c>
    </row>
    <row r="354" spans="1:14" x14ac:dyDescent="0.3">
      <c r="A354" t="s">
        <v>366</v>
      </c>
      <c r="B354" s="3">
        <v>45674</v>
      </c>
      <c r="C354" t="s">
        <v>515</v>
      </c>
      <c r="D354" t="s">
        <v>528</v>
      </c>
      <c r="E354" t="s">
        <v>540</v>
      </c>
      <c r="F354">
        <v>20</v>
      </c>
      <c r="G354">
        <v>19</v>
      </c>
      <c r="H354">
        <v>79</v>
      </c>
      <c r="I354">
        <v>1501</v>
      </c>
      <c r="J354">
        <v>0.22</v>
      </c>
      <c r="K354">
        <v>330.22</v>
      </c>
      <c r="L354">
        <v>1831.22</v>
      </c>
      <c r="M354" t="s">
        <v>541</v>
      </c>
      <c r="N354" t="s">
        <v>549</v>
      </c>
    </row>
    <row r="355" spans="1:14" x14ac:dyDescent="0.3">
      <c r="A355" t="s">
        <v>367</v>
      </c>
      <c r="B355" s="3">
        <v>45545</v>
      </c>
      <c r="C355" t="s">
        <v>520</v>
      </c>
      <c r="D355" t="s">
        <v>528</v>
      </c>
      <c r="E355" t="s">
        <v>540</v>
      </c>
      <c r="F355">
        <v>49</v>
      </c>
      <c r="G355">
        <v>57</v>
      </c>
      <c r="H355">
        <v>205</v>
      </c>
      <c r="I355">
        <v>11685</v>
      </c>
      <c r="J355">
        <v>0.22</v>
      </c>
      <c r="K355">
        <v>2570.6999999999998</v>
      </c>
      <c r="L355">
        <v>14255.7</v>
      </c>
      <c r="M355" t="s">
        <v>543</v>
      </c>
      <c r="N355" t="s">
        <v>544</v>
      </c>
    </row>
    <row r="356" spans="1:14" x14ac:dyDescent="0.3">
      <c r="A356" t="s">
        <v>368</v>
      </c>
      <c r="B356" s="3">
        <v>45406</v>
      </c>
      <c r="C356" t="s">
        <v>514</v>
      </c>
      <c r="D356" t="s">
        <v>528</v>
      </c>
      <c r="E356" t="s">
        <v>539</v>
      </c>
      <c r="F356">
        <v>39</v>
      </c>
      <c r="G356">
        <v>47</v>
      </c>
      <c r="H356">
        <v>292</v>
      </c>
      <c r="I356">
        <v>13724</v>
      </c>
      <c r="J356">
        <v>0.22</v>
      </c>
      <c r="K356">
        <v>3019.28</v>
      </c>
      <c r="L356">
        <v>16743.28</v>
      </c>
      <c r="M356" t="s">
        <v>541</v>
      </c>
      <c r="N356" t="s">
        <v>547</v>
      </c>
    </row>
    <row r="357" spans="1:14" x14ac:dyDescent="0.3">
      <c r="A357" t="s">
        <v>369</v>
      </c>
      <c r="B357" s="3">
        <v>45460</v>
      </c>
      <c r="C357" t="s">
        <v>518</v>
      </c>
      <c r="D357" t="s">
        <v>528</v>
      </c>
      <c r="E357" t="s">
        <v>540</v>
      </c>
      <c r="F357">
        <v>52</v>
      </c>
      <c r="G357">
        <v>49</v>
      </c>
      <c r="H357">
        <v>73</v>
      </c>
      <c r="I357">
        <v>3577</v>
      </c>
      <c r="J357">
        <v>0.22</v>
      </c>
      <c r="K357">
        <v>786.94</v>
      </c>
      <c r="L357">
        <v>4363.9400000000014</v>
      </c>
      <c r="M357" t="s">
        <v>542</v>
      </c>
      <c r="N357" t="s">
        <v>553</v>
      </c>
    </row>
    <row r="358" spans="1:14" x14ac:dyDescent="0.3">
      <c r="A358" t="s">
        <v>370</v>
      </c>
      <c r="B358" s="3">
        <v>45792</v>
      </c>
      <c r="C358" t="s">
        <v>520</v>
      </c>
      <c r="D358" t="s">
        <v>528</v>
      </c>
      <c r="E358" t="s">
        <v>540</v>
      </c>
      <c r="F358">
        <v>12</v>
      </c>
      <c r="G358">
        <v>15</v>
      </c>
      <c r="H358">
        <v>218</v>
      </c>
      <c r="I358">
        <v>3270</v>
      </c>
      <c r="J358">
        <v>0.22</v>
      </c>
      <c r="K358">
        <v>719.4</v>
      </c>
      <c r="L358">
        <v>3989.4</v>
      </c>
      <c r="M358" t="s">
        <v>543</v>
      </c>
      <c r="N358" t="s">
        <v>547</v>
      </c>
    </row>
    <row r="359" spans="1:14" x14ac:dyDescent="0.3">
      <c r="A359" t="s">
        <v>371</v>
      </c>
      <c r="B359" s="3">
        <v>45817</v>
      </c>
      <c r="C359" t="s">
        <v>515</v>
      </c>
      <c r="D359" t="s">
        <v>533</v>
      </c>
      <c r="E359" t="s">
        <v>539</v>
      </c>
      <c r="F359">
        <v>1</v>
      </c>
      <c r="G359">
        <v>1</v>
      </c>
      <c r="H359">
        <v>176</v>
      </c>
      <c r="I359">
        <v>176</v>
      </c>
      <c r="J359">
        <v>0.22</v>
      </c>
      <c r="K359">
        <v>38.72</v>
      </c>
      <c r="L359">
        <v>214.72</v>
      </c>
      <c r="M359" t="s">
        <v>543</v>
      </c>
      <c r="N359" t="s">
        <v>548</v>
      </c>
    </row>
    <row r="360" spans="1:14" x14ac:dyDescent="0.3">
      <c r="A360" t="s">
        <v>372</v>
      </c>
      <c r="B360" s="3">
        <v>45314</v>
      </c>
      <c r="C360" t="s">
        <v>515</v>
      </c>
      <c r="D360" t="s">
        <v>523</v>
      </c>
      <c r="E360" t="s">
        <v>538</v>
      </c>
      <c r="F360">
        <v>64</v>
      </c>
      <c r="G360">
        <v>54</v>
      </c>
      <c r="H360">
        <v>177</v>
      </c>
      <c r="I360">
        <v>9558</v>
      </c>
      <c r="J360">
        <v>0.22</v>
      </c>
      <c r="K360">
        <v>2102.7600000000002</v>
      </c>
      <c r="L360">
        <v>11660.76</v>
      </c>
      <c r="M360" t="s">
        <v>542</v>
      </c>
      <c r="N360" t="s">
        <v>553</v>
      </c>
    </row>
    <row r="361" spans="1:14" x14ac:dyDescent="0.3">
      <c r="A361" t="s">
        <v>373</v>
      </c>
      <c r="B361" s="3">
        <v>45366</v>
      </c>
      <c r="C361" t="s">
        <v>514</v>
      </c>
      <c r="D361" t="s">
        <v>530</v>
      </c>
      <c r="E361" t="s">
        <v>537</v>
      </c>
      <c r="F361">
        <v>3</v>
      </c>
      <c r="G361">
        <v>3</v>
      </c>
      <c r="H361">
        <v>203</v>
      </c>
      <c r="I361">
        <v>609</v>
      </c>
      <c r="J361">
        <v>0.22</v>
      </c>
      <c r="K361">
        <v>133.97999999999999</v>
      </c>
      <c r="L361">
        <v>742.98</v>
      </c>
      <c r="M361" t="s">
        <v>541</v>
      </c>
      <c r="N361" t="s">
        <v>550</v>
      </c>
    </row>
    <row r="362" spans="1:14" x14ac:dyDescent="0.3">
      <c r="A362" t="s">
        <v>374</v>
      </c>
      <c r="B362" s="3">
        <v>45362</v>
      </c>
      <c r="C362" t="s">
        <v>517</v>
      </c>
      <c r="D362" t="s">
        <v>524</v>
      </c>
      <c r="E362" t="s">
        <v>537</v>
      </c>
      <c r="F362">
        <v>54</v>
      </c>
      <c r="G362">
        <v>57</v>
      </c>
      <c r="H362">
        <v>262</v>
      </c>
      <c r="I362">
        <v>14934</v>
      </c>
      <c r="J362">
        <v>0.22</v>
      </c>
      <c r="K362">
        <v>3285.48</v>
      </c>
      <c r="L362">
        <v>18219.48</v>
      </c>
      <c r="M362" t="s">
        <v>542</v>
      </c>
      <c r="N362" t="s">
        <v>546</v>
      </c>
    </row>
    <row r="363" spans="1:14" x14ac:dyDescent="0.3">
      <c r="A363" t="s">
        <v>375</v>
      </c>
      <c r="B363" s="3">
        <v>45675</v>
      </c>
      <c r="C363" t="s">
        <v>515</v>
      </c>
      <c r="D363" t="s">
        <v>533</v>
      </c>
      <c r="E363" t="s">
        <v>538</v>
      </c>
      <c r="F363">
        <v>13</v>
      </c>
      <c r="G363">
        <v>12</v>
      </c>
      <c r="H363">
        <v>133</v>
      </c>
      <c r="I363">
        <v>1596</v>
      </c>
      <c r="J363">
        <v>0.1</v>
      </c>
      <c r="K363">
        <v>159.6</v>
      </c>
      <c r="L363">
        <v>1755.6</v>
      </c>
      <c r="M363" t="s">
        <v>543</v>
      </c>
      <c r="N363" t="s">
        <v>546</v>
      </c>
    </row>
    <row r="364" spans="1:14" x14ac:dyDescent="0.3">
      <c r="A364" t="s">
        <v>376</v>
      </c>
      <c r="B364" s="3">
        <v>45374</v>
      </c>
      <c r="C364" t="s">
        <v>516</v>
      </c>
      <c r="D364" t="s">
        <v>532</v>
      </c>
      <c r="E364" t="s">
        <v>536</v>
      </c>
      <c r="F364">
        <v>16</v>
      </c>
      <c r="G364">
        <v>16</v>
      </c>
      <c r="H364">
        <v>259</v>
      </c>
      <c r="I364">
        <v>4144</v>
      </c>
      <c r="J364">
        <v>0.1</v>
      </c>
      <c r="K364">
        <v>414.4</v>
      </c>
      <c r="L364">
        <v>4558.3999999999996</v>
      </c>
      <c r="M364" t="s">
        <v>542</v>
      </c>
      <c r="N364" t="s">
        <v>547</v>
      </c>
    </row>
    <row r="365" spans="1:14" x14ac:dyDescent="0.3">
      <c r="A365" t="s">
        <v>377</v>
      </c>
      <c r="B365" s="3">
        <v>45694</v>
      </c>
      <c r="C365" t="s">
        <v>516</v>
      </c>
      <c r="D365" t="s">
        <v>532</v>
      </c>
      <c r="E365" t="s">
        <v>536</v>
      </c>
      <c r="F365">
        <v>77</v>
      </c>
      <c r="G365">
        <v>76</v>
      </c>
      <c r="H365">
        <v>211</v>
      </c>
      <c r="I365">
        <v>16036</v>
      </c>
      <c r="J365">
        <v>0.1</v>
      </c>
      <c r="K365">
        <v>1603.6</v>
      </c>
      <c r="L365">
        <v>17639.599999999999</v>
      </c>
      <c r="M365" t="s">
        <v>542</v>
      </c>
      <c r="N365" t="s">
        <v>550</v>
      </c>
    </row>
    <row r="366" spans="1:14" x14ac:dyDescent="0.3">
      <c r="A366" t="s">
        <v>378</v>
      </c>
      <c r="B366" s="3">
        <v>45597</v>
      </c>
      <c r="C366" t="s">
        <v>517</v>
      </c>
      <c r="D366" t="s">
        <v>529</v>
      </c>
      <c r="E366" t="s">
        <v>536</v>
      </c>
      <c r="F366">
        <v>33</v>
      </c>
      <c r="G366">
        <v>28</v>
      </c>
      <c r="H366">
        <v>176</v>
      </c>
      <c r="I366">
        <v>4928</v>
      </c>
      <c r="J366">
        <v>0</v>
      </c>
      <c r="K366">
        <v>0</v>
      </c>
      <c r="L366">
        <v>4928</v>
      </c>
      <c r="M366" t="s">
        <v>541</v>
      </c>
      <c r="N366" t="s">
        <v>546</v>
      </c>
    </row>
    <row r="367" spans="1:14" x14ac:dyDescent="0.3">
      <c r="A367" t="s">
        <v>379</v>
      </c>
      <c r="B367" s="3">
        <v>45836</v>
      </c>
      <c r="C367" t="s">
        <v>515</v>
      </c>
      <c r="D367" t="s">
        <v>525</v>
      </c>
      <c r="E367" t="s">
        <v>534</v>
      </c>
      <c r="F367">
        <v>8</v>
      </c>
      <c r="G367">
        <v>8</v>
      </c>
      <c r="H367">
        <v>181</v>
      </c>
      <c r="I367">
        <v>1448</v>
      </c>
      <c r="J367">
        <v>0.22</v>
      </c>
      <c r="K367">
        <v>318.56</v>
      </c>
      <c r="L367">
        <v>1766.56</v>
      </c>
      <c r="M367" t="s">
        <v>542</v>
      </c>
      <c r="N367" t="s">
        <v>548</v>
      </c>
    </row>
    <row r="368" spans="1:14" x14ac:dyDescent="0.3">
      <c r="A368" t="s">
        <v>380</v>
      </c>
      <c r="B368" s="3">
        <v>45485</v>
      </c>
      <c r="C368" t="s">
        <v>520</v>
      </c>
      <c r="D368" t="s">
        <v>524</v>
      </c>
      <c r="E368" t="s">
        <v>538</v>
      </c>
      <c r="F368">
        <v>43</v>
      </c>
      <c r="G368">
        <v>36</v>
      </c>
      <c r="H368">
        <v>149</v>
      </c>
      <c r="I368">
        <v>5364</v>
      </c>
      <c r="J368">
        <v>0.22</v>
      </c>
      <c r="K368">
        <v>1180.08</v>
      </c>
      <c r="L368">
        <v>6544.08</v>
      </c>
      <c r="M368" t="s">
        <v>541</v>
      </c>
      <c r="N368" t="s">
        <v>550</v>
      </c>
    </row>
    <row r="369" spans="1:14" x14ac:dyDescent="0.3">
      <c r="A369" t="s">
        <v>381</v>
      </c>
      <c r="B369" s="3">
        <v>45538</v>
      </c>
      <c r="C369" t="s">
        <v>519</v>
      </c>
      <c r="D369" t="s">
        <v>527</v>
      </c>
      <c r="E369" t="s">
        <v>535</v>
      </c>
      <c r="F369">
        <v>9</v>
      </c>
      <c r="G369">
        <v>8</v>
      </c>
      <c r="H369">
        <v>245</v>
      </c>
      <c r="I369">
        <v>1960</v>
      </c>
      <c r="J369">
        <v>0.22</v>
      </c>
      <c r="K369">
        <v>431.2</v>
      </c>
      <c r="L369">
        <v>2391.1999999999998</v>
      </c>
      <c r="M369" t="s">
        <v>543</v>
      </c>
      <c r="N369" t="s">
        <v>553</v>
      </c>
    </row>
    <row r="370" spans="1:14" x14ac:dyDescent="0.3">
      <c r="A370" t="s">
        <v>382</v>
      </c>
      <c r="B370" s="3">
        <v>45341</v>
      </c>
      <c r="C370" t="s">
        <v>519</v>
      </c>
      <c r="D370" t="s">
        <v>524</v>
      </c>
      <c r="E370" t="s">
        <v>540</v>
      </c>
      <c r="F370">
        <v>53</v>
      </c>
      <c r="G370">
        <v>60</v>
      </c>
      <c r="H370">
        <v>237</v>
      </c>
      <c r="I370">
        <v>14220</v>
      </c>
      <c r="J370">
        <v>0.22</v>
      </c>
      <c r="K370">
        <v>3128.4</v>
      </c>
      <c r="L370">
        <v>17348.400000000001</v>
      </c>
      <c r="M370" t="s">
        <v>541</v>
      </c>
      <c r="N370" t="s">
        <v>549</v>
      </c>
    </row>
    <row r="371" spans="1:14" x14ac:dyDescent="0.3">
      <c r="A371" t="s">
        <v>383</v>
      </c>
      <c r="B371" s="3">
        <v>45349</v>
      </c>
      <c r="C371" t="s">
        <v>521</v>
      </c>
      <c r="D371" t="s">
        <v>528</v>
      </c>
      <c r="E371" t="s">
        <v>537</v>
      </c>
      <c r="F371">
        <v>23</v>
      </c>
      <c r="G371">
        <v>28</v>
      </c>
      <c r="H371">
        <v>279</v>
      </c>
      <c r="I371">
        <v>7812</v>
      </c>
      <c r="J371">
        <v>0.22</v>
      </c>
      <c r="K371">
        <v>1718.64</v>
      </c>
      <c r="L371">
        <v>9530.64</v>
      </c>
      <c r="M371" t="s">
        <v>541</v>
      </c>
      <c r="N371" t="s">
        <v>553</v>
      </c>
    </row>
    <row r="372" spans="1:14" x14ac:dyDescent="0.3">
      <c r="A372" t="s">
        <v>384</v>
      </c>
      <c r="B372" s="3">
        <v>45618</v>
      </c>
      <c r="C372" t="s">
        <v>518</v>
      </c>
      <c r="D372" t="s">
        <v>525</v>
      </c>
      <c r="E372" t="s">
        <v>537</v>
      </c>
      <c r="F372">
        <v>34</v>
      </c>
      <c r="G372">
        <v>41</v>
      </c>
      <c r="H372">
        <v>287</v>
      </c>
      <c r="I372">
        <v>11767</v>
      </c>
      <c r="J372">
        <v>0.1</v>
      </c>
      <c r="K372">
        <v>1176.7</v>
      </c>
      <c r="L372">
        <v>12943.7</v>
      </c>
      <c r="M372" t="s">
        <v>541</v>
      </c>
      <c r="N372" t="s">
        <v>545</v>
      </c>
    </row>
    <row r="373" spans="1:14" x14ac:dyDescent="0.3">
      <c r="A373" t="s">
        <v>385</v>
      </c>
      <c r="B373" s="3">
        <v>45518</v>
      </c>
      <c r="C373" t="s">
        <v>515</v>
      </c>
      <c r="D373" t="s">
        <v>523</v>
      </c>
      <c r="E373" t="s">
        <v>537</v>
      </c>
      <c r="F373">
        <v>52</v>
      </c>
      <c r="G373">
        <v>64</v>
      </c>
      <c r="H373">
        <v>214</v>
      </c>
      <c r="I373">
        <v>13696</v>
      </c>
      <c r="J373">
        <v>0.22</v>
      </c>
      <c r="K373">
        <v>3013.12</v>
      </c>
      <c r="L373">
        <v>16709.12</v>
      </c>
      <c r="M373" t="s">
        <v>541</v>
      </c>
      <c r="N373" t="s">
        <v>547</v>
      </c>
    </row>
    <row r="374" spans="1:14" x14ac:dyDescent="0.3">
      <c r="A374" t="s">
        <v>386</v>
      </c>
      <c r="B374" s="3">
        <v>45729</v>
      </c>
      <c r="C374" t="s">
        <v>516</v>
      </c>
      <c r="D374" t="s">
        <v>533</v>
      </c>
      <c r="E374" t="s">
        <v>535</v>
      </c>
      <c r="F374">
        <v>53</v>
      </c>
      <c r="G374">
        <v>63</v>
      </c>
      <c r="H374">
        <v>204</v>
      </c>
      <c r="I374">
        <v>12852</v>
      </c>
      <c r="J374">
        <v>0.1</v>
      </c>
      <c r="K374">
        <v>1285.2</v>
      </c>
      <c r="L374">
        <v>14137.2</v>
      </c>
      <c r="M374" t="s">
        <v>541</v>
      </c>
      <c r="N374" t="s">
        <v>546</v>
      </c>
    </row>
    <row r="375" spans="1:14" x14ac:dyDescent="0.3">
      <c r="A375" t="s">
        <v>387</v>
      </c>
      <c r="B375" s="3">
        <v>45829</v>
      </c>
      <c r="C375" t="s">
        <v>518</v>
      </c>
      <c r="D375" t="s">
        <v>530</v>
      </c>
      <c r="E375" t="s">
        <v>540</v>
      </c>
      <c r="F375">
        <v>78</v>
      </c>
      <c r="G375">
        <v>73</v>
      </c>
      <c r="H375">
        <v>220</v>
      </c>
      <c r="I375">
        <v>16060</v>
      </c>
      <c r="J375">
        <v>0.22</v>
      </c>
      <c r="K375">
        <v>3533.2</v>
      </c>
      <c r="L375">
        <v>19593.2</v>
      </c>
      <c r="M375" t="s">
        <v>543</v>
      </c>
      <c r="N375" t="s">
        <v>547</v>
      </c>
    </row>
    <row r="376" spans="1:14" x14ac:dyDescent="0.3">
      <c r="A376" t="s">
        <v>388</v>
      </c>
      <c r="B376" s="3">
        <v>45776</v>
      </c>
      <c r="C376" t="s">
        <v>519</v>
      </c>
      <c r="D376" t="s">
        <v>525</v>
      </c>
      <c r="E376" t="s">
        <v>537</v>
      </c>
      <c r="F376">
        <v>64</v>
      </c>
      <c r="G376">
        <v>77</v>
      </c>
      <c r="H376">
        <v>279</v>
      </c>
      <c r="I376">
        <v>21483</v>
      </c>
      <c r="J376">
        <v>0.1</v>
      </c>
      <c r="K376">
        <v>2148.3000000000002</v>
      </c>
      <c r="L376">
        <v>23631.3</v>
      </c>
      <c r="M376" t="s">
        <v>542</v>
      </c>
      <c r="N376" t="s">
        <v>552</v>
      </c>
    </row>
    <row r="377" spans="1:14" x14ac:dyDescent="0.3">
      <c r="A377" t="s">
        <v>389</v>
      </c>
      <c r="B377" s="3">
        <v>45351</v>
      </c>
      <c r="C377" t="s">
        <v>516</v>
      </c>
      <c r="D377" t="s">
        <v>530</v>
      </c>
      <c r="E377" t="s">
        <v>540</v>
      </c>
      <c r="F377">
        <v>27</v>
      </c>
      <c r="G377">
        <v>29</v>
      </c>
      <c r="H377">
        <v>200</v>
      </c>
      <c r="I377">
        <v>5800</v>
      </c>
      <c r="J377">
        <v>0.22</v>
      </c>
      <c r="K377">
        <v>1276</v>
      </c>
      <c r="L377">
        <v>7076</v>
      </c>
      <c r="M377" t="s">
        <v>542</v>
      </c>
      <c r="N377" t="s">
        <v>546</v>
      </c>
    </row>
    <row r="378" spans="1:14" x14ac:dyDescent="0.3">
      <c r="A378" t="s">
        <v>390</v>
      </c>
      <c r="B378" s="3">
        <v>45540</v>
      </c>
      <c r="C378" t="s">
        <v>522</v>
      </c>
      <c r="D378" t="s">
        <v>525</v>
      </c>
      <c r="E378" t="s">
        <v>537</v>
      </c>
      <c r="F378">
        <v>52</v>
      </c>
      <c r="G378">
        <v>46</v>
      </c>
      <c r="H378">
        <v>94</v>
      </c>
      <c r="I378">
        <v>4324</v>
      </c>
      <c r="J378">
        <v>0.22</v>
      </c>
      <c r="K378">
        <v>951.28</v>
      </c>
      <c r="L378">
        <v>5275.28</v>
      </c>
      <c r="M378" t="s">
        <v>543</v>
      </c>
      <c r="N378" t="s">
        <v>551</v>
      </c>
    </row>
    <row r="379" spans="1:14" x14ac:dyDescent="0.3">
      <c r="A379" t="s">
        <v>391</v>
      </c>
      <c r="B379" s="3">
        <v>45386</v>
      </c>
      <c r="C379" t="s">
        <v>516</v>
      </c>
      <c r="D379" t="s">
        <v>525</v>
      </c>
      <c r="E379" t="s">
        <v>535</v>
      </c>
      <c r="F379">
        <v>5</v>
      </c>
      <c r="G379">
        <v>6</v>
      </c>
      <c r="H379">
        <v>141</v>
      </c>
      <c r="I379">
        <v>846</v>
      </c>
      <c r="J379">
        <v>0.22</v>
      </c>
      <c r="K379">
        <v>186.12</v>
      </c>
      <c r="L379">
        <v>1032.1199999999999</v>
      </c>
      <c r="M379" t="s">
        <v>541</v>
      </c>
      <c r="N379" t="s">
        <v>553</v>
      </c>
    </row>
    <row r="380" spans="1:14" x14ac:dyDescent="0.3">
      <c r="A380" t="s">
        <v>392</v>
      </c>
      <c r="B380" s="3">
        <v>45332</v>
      </c>
      <c r="C380" t="s">
        <v>520</v>
      </c>
      <c r="D380" t="s">
        <v>525</v>
      </c>
      <c r="E380" t="s">
        <v>538</v>
      </c>
      <c r="F380">
        <v>78</v>
      </c>
      <c r="G380">
        <v>69</v>
      </c>
      <c r="H380">
        <v>106</v>
      </c>
      <c r="I380">
        <v>7314</v>
      </c>
      <c r="J380">
        <v>0.22</v>
      </c>
      <c r="K380">
        <v>1609.08</v>
      </c>
      <c r="L380">
        <v>8923.08</v>
      </c>
      <c r="M380" t="s">
        <v>541</v>
      </c>
      <c r="N380" t="s">
        <v>545</v>
      </c>
    </row>
    <row r="381" spans="1:14" x14ac:dyDescent="0.3">
      <c r="A381" t="s">
        <v>393</v>
      </c>
      <c r="B381" s="3">
        <v>45514</v>
      </c>
      <c r="C381" t="s">
        <v>517</v>
      </c>
      <c r="D381" t="s">
        <v>525</v>
      </c>
      <c r="E381" t="s">
        <v>538</v>
      </c>
      <c r="F381">
        <v>23</v>
      </c>
      <c r="G381">
        <v>25</v>
      </c>
      <c r="H381">
        <v>253</v>
      </c>
      <c r="I381">
        <v>6325</v>
      </c>
      <c r="J381">
        <v>0.1</v>
      </c>
      <c r="K381">
        <v>632.5</v>
      </c>
      <c r="L381">
        <v>6957.5</v>
      </c>
      <c r="M381" t="s">
        <v>543</v>
      </c>
      <c r="N381" t="s">
        <v>550</v>
      </c>
    </row>
    <row r="382" spans="1:14" x14ac:dyDescent="0.3">
      <c r="A382" t="s">
        <v>394</v>
      </c>
      <c r="B382" s="3">
        <v>45508</v>
      </c>
      <c r="C382" t="s">
        <v>519</v>
      </c>
      <c r="D382" t="s">
        <v>527</v>
      </c>
      <c r="E382" t="s">
        <v>536</v>
      </c>
      <c r="F382">
        <v>8</v>
      </c>
      <c r="G382">
        <v>10</v>
      </c>
      <c r="H382">
        <v>115</v>
      </c>
      <c r="I382">
        <v>1150</v>
      </c>
      <c r="J382">
        <v>0.1</v>
      </c>
      <c r="K382">
        <v>115</v>
      </c>
      <c r="L382">
        <v>1265</v>
      </c>
      <c r="M382" t="s">
        <v>543</v>
      </c>
      <c r="N382" t="s">
        <v>549</v>
      </c>
    </row>
    <row r="383" spans="1:14" x14ac:dyDescent="0.3">
      <c r="A383" t="s">
        <v>395</v>
      </c>
      <c r="B383" s="3">
        <v>45501</v>
      </c>
      <c r="C383" t="s">
        <v>515</v>
      </c>
      <c r="D383" t="s">
        <v>525</v>
      </c>
      <c r="E383" t="s">
        <v>539</v>
      </c>
      <c r="F383">
        <v>32</v>
      </c>
      <c r="G383">
        <v>30</v>
      </c>
      <c r="H383">
        <v>168</v>
      </c>
      <c r="I383">
        <v>5040</v>
      </c>
      <c r="J383">
        <v>0.22</v>
      </c>
      <c r="K383">
        <v>1108.8</v>
      </c>
      <c r="L383">
        <v>6148.8</v>
      </c>
      <c r="M383" t="s">
        <v>543</v>
      </c>
      <c r="N383" t="s">
        <v>546</v>
      </c>
    </row>
    <row r="384" spans="1:14" x14ac:dyDescent="0.3">
      <c r="A384" t="s">
        <v>396</v>
      </c>
      <c r="B384" s="3">
        <v>45769</v>
      </c>
      <c r="C384" t="s">
        <v>516</v>
      </c>
      <c r="D384" t="s">
        <v>529</v>
      </c>
      <c r="E384" t="s">
        <v>537</v>
      </c>
      <c r="F384">
        <v>5</v>
      </c>
      <c r="G384">
        <v>5</v>
      </c>
      <c r="H384">
        <v>178</v>
      </c>
      <c r="I384">
        <v>890</v>
      </c>
      <c r="J384">
        <v>0</v>
      </c>
      <c r="K384">
        <v>0</v>
      </c>
      <c r="L384">
        <v>890</v>
      </c>
      <c r="M384" t="s">
        <v>543</v>
      </c>
      <c r="N384" t="s">
        <v>548</v>
      </c>
    </row>
    <row r="385" spans="1:14" x14ac:dyDescent="0.3">
      <c r="A385" t="s">
        <v>397</v>
      </c>
      <c r="B385" s="3">
        <v>45660</v>
      </c>
      <c r="C385" t="s">
        <v>516</v>
      </c>
      <c r="D385" t="s">
        <v>533</v>
      </c>
      <c r="E385" t="s">
        <v>540</v>
      </c>
      <c r="F385">
        <v>38</v>
      </c>
      <c r="G385">
        <v>33</v>
      </c>
      <c r="H385">
        <v>177</v>
      </c>
      <c r="I385">
        <v>5841</v>
      </c>
      <c r="J385">
        <v>0.22</v>
      </c>
      <c r="K385">
        <v>1285.02</v>
      </c>
      <c r="L385">
        <v>7126.02</v>
      </c>
      <c r="M385" t="s">
        <v>541</v>
      </c>
      <c r="N385" t="s">
        <v>552</v>
      </c>
    </row>
    <row r="386" spans="1:14" x14ac:dyDescent="0.3">
      <c r="A386" t="s">
        <v>398</v>
      </c>
      <c r="B386" s="3">
        <v>45619</v>
      </c>
      <c r="C386" t="s">
        <v>519</v>
      </c>
      <c r="D386" t="s">
        <v>531</v>
      </c>
      <c r="E386" t="s">
        <v>537</v>
      </c>
      <c r="F386">
        <v>71</v>
      </c>
      <c r="G386">
        <v>65</v>
      </c>
      <c r="H386">
        <v>205</v>
      </c>
      <c r="I386">
        <v>13325</v>
      </c>
      <c r="J386">
        <v>0.22</v>
      </c>
      <c r="K386">
        <v>2931.5</v>
      </c>
      <c r="L386">
        <v>16256.5</v>
      </c>
      <c r="M386" t="s">
        <v>541</v>
      </c>
      <c r="N386" t="s">
        <v>549</v>
      </c>
    </row>
    <row r="387" spans="1:14" x14ac:dyDescent="0.3">
      <c r="A387" t="s">
        <v>399</v>
      </c>
      <c r="B387" s="3">
        <v>45441</v>
      </c>
      <c r="C387" t="s">
        <v>514</v>
      </c>
      <c r="D387" t="s">
        <v>523</v>
      </c>
      <c r="E387" t="s">
        <v>539</v>
      </c>
      <c r="F387">
        <v>55</v>
      </c>
      <c r="G387">
        <v>49</v>
      </c>
      <c r="H387">
        <v>70</v>
      </c>
      <c r="I387">
        <v>3430</v>
      </c>
      <c r="J387">
        <v>0.1</v>
      </c>
      <c r="K387">
        <v>343</v>
      </c>
      <c r="L387">
        <v>3773</v>
      </c>
      <c r="M387" t="s">
        <v>541</v>
      </c>
      <c r="N387" t="s">
        <v>546</v>
      </c>
    </row>
    <row r="388" spans="1:14" x14ac:dyDescent="0.3">
      <c r="A388" t="s">
        <v>400</v>
      </c>
      <c r="B388" s="3">
        <v>45594</v>
      </c>
      <c r="C388" t="s">
        <v>521</v>
      </c>
      <c r="D388" t="s">
        <v>525</v>
      </c>
      <c r="E388" t="s">
        <v>537</v>
      </c>
      <c r="F388">
        <v>24</v>
      </c>
      <c r="G388">
        <v>26</v>
      </c>
      <c r="H388">
        <v>122</v>
      </c>
      <c r="I388">
        <v>3172</v>
      </c>
      <c r="J388">
        <v>0.22</v>
      </c>
      <c r="K388">
        <v>697.84</v>
      </c>
      <c r="L388">
        <v>3869.84</v>
      </c>
      <c r="M388" t="s">
        <v>541</v>
      </c>
      <c r="N388" t="s">
        <v>549</v>
      </c>
    </row>
    <row r="389" spans="1:14" x14ac:dyDescent="0.3">
      <c r="A389" t="s">
        <v>401</v>
      </c>
      <c r="B389" s="3">
        <v>45803</v>
      </c>
      <c r="C389" t="s">
        <v>516</v>
      </c>
      <c r="D389" t="s">
        <v>529</v>
      </c>
      <c r="E389" t="s">
        <v>536</v>
      </c>
      <c r="F389">
        <v>51</v>
      </c>
      <c r="G389">
        <v>59</v>
      </c>
      <c r="H389">
        <v>86</v>
      </c>
      <c r="I389">
        <v>5074</v>
      </c>
      <c r="J389">
        <v>0</v>
      </c>
      <c r="K389">
        <v>0</v>
      </c>
      <c r="L389">
        <v>5074</v>
      </c>
      <c r="M389" t="s">
        <v>543</v>
      </c>
      <c r="N389" t="s">
        <v>548</v>
      </c>
    </row>
    <row r="390" spans="1:14" x14ac:dyDescent="0.3">
      <c r="A390" t="s">
        <v>402</v>
      </c>
      <c r="B390" s="3">
        <v>45792</v>
      </c>
      <c r="C390" t="s">
        <v>517</v>
      </c>
      <c r="D390" t="s">
        <v>533</v>
      </c>
      <c r="E390" t="s">
        <v>534</v>
      </c>
      <c r="F390">
        <v>54</v>
      </c>
      <c r="G390">
        <v>49</v>
      </c>
      <c r="H390">
        <v>264</v>
      </c>
      <c r="I390">
        <v>12936</v>
      </c>
      <c r="J390">
        <v>0.22</v>
      </c>
      <c r="K390">
        <v>2845.92</v>
      </c>
      <c r="L390">
        <v>15781.92</v>
      </c>
      <c r="M390" t="s">
        <v>543</v>
      </c>
      <c r="N390" t="s">
        <v>547</v>
      </c>
    </row>
    <row r="391" spans="1:14" x14ac:dyDescent="0.3">
      <c r="A391" t="s">
        <v>403</v>
      </c>
      <c r="B391" s="3">
        <v>45435</v>
      </c>
      <c r="C391" t="s">
        <v>516</v>
      </c>
      <c r="D391" t="s">
        <v>533</v>
      </c>
      <c r="E391" t="s">
        <v>534</v>
      </c>
      <c r="F391">
        <v>37</v>
      </c>
      <c r="G391">
        <v>33</v>
      </c>
      <c r="H391">
        <v>157</v>
      </c>
      <c r="I391">
        <v>5181</v>
      </c>
      <c r="J391">
        <v>0.1</v>
      </c>
      <c r="K391">
        <v>518.1</v>
      </c>
      <c r="L391">
        <v>5699.1</v>
      </c>
      <c r="M391" t="s">
        <v>541</v>
      </c>
      <c r="N391" t="s">
        <v>550</v>
      </c>
    </row>
    <row r="392" spans="1:14" x14ac:dyDescent="0.3">
      <c r="A392" t="s">
        <v>404</v>
      </c>
      <c r="B392" s="3">
        <v>45828</v>
      </c>
      <c r="C392" t="s">
        <v>514</v>
      </c>
      <c r="D392" t="s">
        <v>527</v>
      </c>
      <c r="E392" t="s">
        <v>538</v>
      </c>
      <c r="F392">
        <v>1</v>
      </c>
      <c r="G392">
        <v>1</v>
      </c>
      <c r="H392">
        <v>208</v>
      </c>
      <c r="I392">
        <v>208</v>
      </c>
      <c r="J392">
        <v>0.22</v>
      </c>
      <c r="K392">
        <v>45.76</v>
      </c>
      <c r="L392">
        <v>253.76</v>
      </c>
      <c r="M392" t="s">
        <v>542</v>
      </c>
      <c r="N392" t="s">
        <v>546</v>
      </c>
    </row>
    <row r="393" spans="1:14" x14ac:dyDescent="0.3">
      <c r="A393" t="s">
        <v>405</v>
      </c>
      <c r="B393" s="3">
        <v>45432</v>
      </c>
      <c r="C393" t="s">
        <v>519</v>
      </c>
      <c r="D393" t="s">
        <v>527</v>
      </c>
      <c r="E393" t="s">
        <v>536</v>
      </c>
      <c r="F393">
        <v>53</v>
      </c>
      <c r="G393">
        <v>55</v>
      </c>
      <c r="H393">
        <v>65</v>
      </c>
      <c r="I393">
        <v>3575</v>
      </c>
      <c r="J393">
        <v>0.22</v>
      </c>
      <c r="K393">
        <v>786.5</v>
      </c>
      <c r="L393">
        <v>4361.5</v>
      </c>
      <c r="M393" t="s">
        <v>542</v>
      </c>
      <c r="N393" t="s">
        <v>545</v>
      </c>
    </row>
    <row r="394" spans="1:14" x14ac:dyDescent="0.3">
      <c r="A394" t="s">
        <v>406</v>
      </c>
      <c r="B394" s="3">
        <v>45758</v>
      </c>
      <c r="C394" t="s">
        <v>518</v>
      </c>
      <c r="D394" t="s">
        <v>524</v>
      </c>
      <c r="E394" t="s">
        <v>539</v>
      </c>
      <c r="F394">
        <v>65</v>
      </c>
      <c r="G394">
        <v>69</v>
      </c>
      <c r="H394">
        <v>154</v>
      </c>
      <c r="I394">
        <v>10626</v>
      </c>
      <c r="J394">
        <v>0.22</v>
      </c>
      <c r="K394">
        <v>2337.7199999999998</v>
      </c>
      <c r="L394">
        <v>12963.72</v>
      </c>
      <c r="M394" t="s">
        <v>541</v>
      </c>
      <c r="N394" t="s">
        <v>552</v>
      </c>
    </row>
    <row r="395" spans="1:14" x14ac:dyDescent="0.3">
      <c r="A395" t="s">
        <v>407</v>
      </c>
      <c r="B395" s="3">
        <v>45791</v>
      </c>
      <c r="C395" t="s">
        <v>514</v>
      </c>
      <c r="D395" t="s">
        <v>524</v>
      </c>
      <c r="E395" t="s">
        <v>539</v>
      </c>
      <c r="F395">
        <v>6</v>
      </c>
      <c r="G395">
        <v>5</v>
      </c>
      <c r="H395">
        <v>161</v>
      </c>
      <c r="I395">
        <v>805</v>
      </c>
      <c r="J395">
        <v>0.22</v>
      </c>
      <c r="K395">
        <v>177.1</v>
      </c>
      <c r="L395">
        <v>982.1</v>
      </c>
      <c r="M395" t="s">
        <v>542</v>
      </c>
      <c r="N395" t="s">
        <v>550</v>
      </c>
    </row>
    <row r="396" spans="1:14" x14ac:dyDescent="0.3">
      <c r="A396" t="s">
        <v>408</v>
      </c>
      <c r="B396" s="3">
        <v>45834</v>
      </c>
      <c r="C396" t="s">
        <v>522</v>
      </c>
      <c r="D396" t="s">
        <v>528</v>
      </c>
      <c r="E396" t="s">
        <v>537</v>
      </c>
      <c r="F396">
        <v>3</v>
      </c>
      <c r="G396">
        <v>3</v>
      </c>
      <c r="H396">
        <v>240</v>
      </c>
      <c r="I396">
        <v>720</v>
      </c>
      <c r="J396">
        <v>0.22</v>
      </c>
      <c r="K396">
        <v>158.4</v>
      </c>
      <c r="L396">
        <v>878.4</v>
      </c>
      <c r="M396" t="s">
        <v>541</v>
      </c>
      <c r="N396" t="s">
        <v>546</v>
      </c>
    </row>
    <row r="397" spans="1:14" x14ac:dyDescent="0.3">
      <c r="A397" t="s">
        <v>409</v>
      </c>
      <c r="B397" s="3">
        <v>45475</v>
      </c>
      <c r="C397" t="s">
        <v>520</v>
      </c>
      <c r="D397" t="s">
        <v>527</v>
      </c>
      <c r="E397" t="s">
        <v>539</v>
      </c>
      <c r="F397">
        <v>27</v>
      </c>
      <c r="G397">
        <v>23</v>
      </c>
      <c r="H397">
        <v>288</v>
      </c>
      <c r="I397">
        <v>6624</v>
      </c>
      <c r="J397">
        <v>0.22</v>
      </c>
      <c r="K397">
        <v>1457.28</v>
      </c>
      <c r="L397">
        <v>8081.28</v>
      </c>
      <c r="M397" t="s">
        <v>542</v>
      </c>
      <c r="N397" t="s">
        <v>553</v>
      </c>
    </row>
    <row r="398" spans="1:14" x14ac:dyDescent="0.3">
      <c r="A398" t="s">
        <v>410</v>
      </c>
      <c r="B398" s="3">
        <v>45831</v>
      </c>
      <c r="C398" t="s">
        <v>522</v>
      </c>
      <c r="D398" t="s">
        <v>531</v>
      </c>
      <c r="E398" t="s">
        <v>537</v>
      </c>
      <c r="F398">
        <v>61</v>
      </c>
      <c r="G398">
        <v>53</v>
      </c>
      <c r="H398">
        <v>224</v>
      </c>
      <c r="I398">
        <v>11872</v>
      </c>
      <c r="J398">
        <v>0.22</v>
      </c>
      <c r="K398">
        <v>2611.84</v>
      </c>
      <c r="L398">
        <v>14483.84</v>
      </c>
      <c r="M398" t="s">
        <v>542</v>
      </c>
      <c r="N398" t="s">
        <v>551</v>
      </c>
    </row>
    <row r="399" spans="1:14" x14ac:dyDescent="0.3">
      <c r="A399" t="s">
        <v>411</v>
      </c>
      <c r="B399" s="3">
        <v>45707</v>
      </c>
      <c r="C399" t="s">
        <v>517</v>
      </c>
      <c r="D399" t="s">
        <v>526</v>
      </c>
      <c r="E399" t="s">
        <v>534</v>
      </c>
      <c r="F399">
        <v>72</v>
      </c>
      <c r="G399">
        <v>74</v>
      </c>
      <c r="H399">
        <v>261</v>
      </c>
      <c r="I399">
        <v>19314</v>
      </c>
      <c r="J399">
        <v>0</v>
      </c>
      <c r="K399">
        <v>0</v>
      </c>
      <c r="L399">
        <v>19314</v>
      </c>
      <c r="M399" t="s">
        <v>541</v>
      </c>
      <c r="N399" t="s">
        <v>549</v>
      </c>
    </row>
    <row r="400" spans="1:14" x14ac:dyDescent="0.3">
      <c r="A400" t="s">
        <v>412</v>
      </c>
      <c r="B400" s="3">
        <v>45599</v>
      </c>
      <c r="C400" t="s">
        <v>520</v>
      </c>
      <c r="D400" t="s">
        <v>529</v>
      </c>
      <c r="E400" t="s">
        <v>538</v>
      </c>
      <c r="F400">
        <v>19</v>
      </c>
      <c r="G400">
        <v>17</v>
      </c>
      <c r="H400">
        <v>144</v>
      </c>
      <c r="I400">
        <v>2448</v>
      </c>
      <c r="J400">
        <v>0</v>
      </c>
      <c r="K400">
        <v>0</v>
      </c>
      <c r="L400">
        <v>2448</v>
      </c>
      <c r="M400" t="s">
        <v>541</v>
      </c>
      <c r="N400" t="s">
        <v>550</v>
      </c>
    </row>
    <row r="401" spans="1:14" x14ac:dyDescent="0.3">
      <c r="A401" t="s">
        <v>413</v>
      </c>
      <c r="B401" s="3">
        <v>45387</v>
      </c>
      <c r="C401" t="s">
        <v>515</v>
      </c>
      <c r="D401" t="s">
        <v>530</v>
      </c>
      <c r="E401" t="s">
        <v>540</v>
      </c>
      <c r="F401">
        <v>86</v>
      </c>
      <c r="G401">
        <v>78</v>
      </c>
      <c r="H401">
        <v>260</v>
      </c>
      <c r="I401">
        <v>20280</v>
      </c>
      <c r="J401">
        <v>0.22</v>
      </c>
      <c r="K401">
        <v>4461.6000000000004</v>
      </c>
      <c r="L401">
        <v>24741.599999999999</v>
      </c>
      <c r="M401" t="s">
        <v>542</v>
      </c>
      <c r="N401" t="s">
        <v>550</v>
      </c>
    </row>
    <row r="402" spans="1:14" x14ac:dyDescent="0.3">
      <c r="A402" t="s">
        <v>414</v>
      </c>
      <c r="B402" s="3">
        <v>45467</v>
      </c>
      <c r="C402" t="s">
        <v>520</v>
      </c>
      <c r="D402" t="s">
        <v>533</v>
      </c>
      <c r="E402" t="s">
        <v>538</v>
      </c>
      <c r="F402">
        <v>1</v>
      </c>
      <c r="G402">
        <v>1</v>
      </c>
      <c r="H402">
        <v>110</v>
      </c>
      <c r="I402">
        <v>110</v>
      </c>
      <c r="J402">
        <v>0.22</v>
      </c>
      <c r="K402">
        <v>24.2</v>
      </c>
      <c r="L402">
        <v>134.19999999999999</v>
      </c>
      <c r="M402" t="s">
        <v>543</v>
      </c>
      <c r="N402" t="s">
        <v>553</v>
      </c>
    </row>
    <row r="403" spans="1:14" x14ac:dyDescent="0.3">
      <c r="A403" t="s">
        <v>415</v>
      </c>
      <c r="B403" s="3">
        <v>45389</v>
      </c>
      <c r="C403" t="s">
        <v>516</v>
      </c>
      <c r="D403" t="s">
        <v>524</v>
      </c>
      <c r="E403" t="s">
        <v>534</v>
      </c>
      <c r="F403">
        <v>52</v>
      </c>
      <c r="G403">
        <v>45</v>
      </c>
      <c r="H403">
        <v>264</v>
      </c>
      <c r="I403">
        <v>11880</v>
      </c>
      <c r="J403">
        <v>0.22</v>
      </c>
      <c r="K403">
        <v>2613.6</v>
      </c>
      <c r="L403">
        <v>14493.6</v>
      </c>
      <c r="M403" t="s">
        <v>541</v>
      </c>
      <c r="N403" t="s">
        <v>553</v>
      </c>
    </row>
    <row r="404" spans="1:14" x14ac:dyDescent="0.3">
      <c r="A404" t="s">
        <v>416</v>
      </c>
      <c r="B404" s="3">
        <v>45778</v>
      </c>
      <c r="C404" t="s">
        <v>522</v>
      </c>
      <c r="D404" t="s">
        <v>524</v>
      </c>
      <c r="E404" t="s">
        <v>535</v>
      </c>
      <c r="F404">
        <v>4</v>
      </c>
      <c r="G404">
        <v>4</v>
      </c>
      <c r="H404">
        <v>249</v>
      </c>
      <c r="I404">
        <v>996</v>
      </c>
      <c r="J404">
        <v>0.22</v>
      </c>
      <c r="K404">
        <v>219.12</v>
      </c>
      <c r="L404">
        <v>1215.1199999999999</v>
      </c>
      <c r="M404" t="s">
        <v>543</v>
      </c>
      <c r="N404" t="s">
        <v>545</v>
      </c>
    </row>
    <row r="405" spans="1:14" x14ac:dyDescent="0.3">
      <c r="A405" t="s">
        <v>417</v>
      </c>
      <c r="B405" s="3">
        <v>45325</v>
      </c>
      <c r="C405" t="s">
        <v>521</v>
      </c>
      <c r="D405" t="s">
        <v>531</v>
      </c>
      <c r="E405" t="s">
        <v>535</v>
      </c>
      <c r="F405">
        <v>73</v>
      </c>
      <c r="G405">
        <v>65</v>
      </c>
      <c r="H405">
        <v>172</v>
      </c>
      <c r="I405">
        <v>11180</v>
      </c>
      <c r="J405">
        <v>0.1</v>
      </c>
      <c r="K405">
        <v>1118</v>
      </c>
      <c r="L405">
        <v>12298</v>
      </c>
      <c r="M405" t="s">
        <v>541</v>
      </c>
      <c r="N405" t="s">
        <v>547</v>
      </c>
    </row>
    <row r="406" spans="1:14" x14ac:dyDescent="0.3">
      <c r="A406" t="s">
        <v>418</v>
      </c>
      <c r="B406" s="3">
        <v>45699</v>
      </c>
      <c r="C406" t="s">
        <v>520</v>
      </c>
      <c r="D406" t="s">
        <v>523</v>
      </c>
      <c r="E406" t="s">
        <v>534</v>
      </c>
      <c r="F406">
        <v>30</v>
      </c>
      <c r="G406">
        <v>32</v>
      </c>
      <c r="H406">
        <v>93</v>
      </c>
      <c r="I406">
        <v>2976</v>
      </c>
      <c r="J406">
        <v>0.22</v>
      </c>
      <c r="K406">
        <v>654.72</v>
      </c>
      <c r="L406">
        <v>3630.72</v>
      </c>
      <c r="M406" t="s">
        <v>541</v>
      </c>
      <c r="N406" t="s">
        <v>546</v>
      </c>
    </row>
    <row r="407" spans="1:14" x14ac:dyDescent="0.3">
      <c r="A407" t="s">
        <v>419</v>
      </c>
      <c r="B407" s="3">
        <v>45631</v>
      </c>
      <c r="C407" t="s">
        <v>515</v>
      </c>
      <c r="D407" t="s">
        <v>532</v>
      </c>
      <c r="E407" t="s">
        <v>538</v>
      </c>
      <c r="F407">
        <v>83</v>
      </c>
      <c r="G407">
        <v>72</v>
      </c>
      <c r="H407">
        <v>98</v>
      </c>
      <c r="I407">
        <v>7056</v>
      </c>
      <c r="J407">
        <v>0.1</v>
      </c>
      <c r="K407">
        <v>705.6</v>
      </c>
      <c r="L407">
        <v>7761.6</v>
      </c>
      <c r="M407" t="s">
        <v>541</v>
      </c>
      <c r="N407" t="s">
        <v>544</v>
      </c>
    </row>
    <row r="408" spans="1:14" x14ac:dyDescent="0.3">
      <c r="A408" t="s">
        <v>420</v>
      </c>
      <c r="B408" s="3">
        <v>45804</v>
      </c>
      <c r="C408" t="s">
        <v>518</v>
      </c>
      <c r="D408" t="s">
        <v>524</v>
      </c>
      <c r="E408" t="s">
        <v>535</v>
      </c>
      <c r="F408">
        <v>25</v>
      </c>
      <c r="G408">
        <v>26</v>
      </c>
      <c r="H408">
        <v>221</v>
      </c>
      <c r="I408">
        <v>5746</v>
      </c>
      <c r="J408">
        <v>0.22</v>
      </c>
      <c r="K408">
        <v>1264.1199999999999</v>
      </c>
      <c r="L408">
        <v>7010.12</v>
      </c>
      <c r="M408" t="s">
        <v>542</v>
      </c>
      <c r="N408" t="s">
        <v>551</v>
      </c>
    </row>
    <row r="409" spans="1:14" x14ac:dyDescent="0.3">
      <c r="A409" t="s">
        <v>421</v>
      </c>
      <c r="B409" s="3">
        <v>45698</v>
      </c>
      <c r="C409" t="s">
        <v>518</v>
      </c>
      <c r="D409" t="s">
        <v>524</v>
      </c>
      <c r="E409" t="s">
        <v>536</v>
      </c>
      <c r="F409">
        <v>43</v>
      </c>
      <c r="G409">
        <v>54</v>
      </c>
      <c r="H409">
        <v>177</v>
      </c>
      <c r="I409">
        <v>9558</v>
      </c>
      <c r="J409">
        <v>0.22</v>
      </c>
      <c r="K409">
        <v>2102.7600000000002</v>
      </c>
      <c r="L409">
        <v>11660.76</v>
      </c>
      <c r="M409" t="s">
        <v>543</v>
      </c>
      <c r="N409" t="s">
        <v>552</v>
      </c>
    </row>
    <row r="410" spans="1:14" x14ac:dyDescent="0.3">
      <c r="A410" t="s">
        <v>422</v>
      </c>
      <c r="B410" s="3">
        <v>45525</v>
      </c>
      <c r="C410" t="s">
        <v>518</v>
      </c>
      <c r="D410" t="s">
        <v>528</v>
      </c>
      <c r="E410" t="s">
        <v>540</v>
      </c>
      <c r="F410">
        <v>3</v>
      </c>
      <c r="G410">
        <v>3</v>
      </c>
      <c r="H410">
        <v>182</v>
      </c>
      <c r="I410">
        <v>546</v>
      </c>
      <c r="J410">
        <v>0.22</v>
      </c>
      <c r="K410">
        <v>120.12</v>
      </c>
      <c r="L410">
        <v>666.12</v>
      </c>
      <c r="M410" t="s">
        <v>541</v>
      </c>
      <c r="N410" t="s">
        <v>553</v>
      </c>
    </row>
    <row r="411" spans="1:14" x14ac:dyDescent="0.3">
      <c r="A411" t="s">
        <v>423</v>
      </c>
      <c r="B411" s="3">
        <v>45681</v>
      </c>
      <c r="C411" t="s">
        <v>520</v>
      </c>
      <c r="D411" t="s">
        <v>526</v>
      </c>
      <c r="E411" t="s">
        <v>537</v>
      </c>
      <c r="F411">
        <v>42</v>
      </c>
      <c r="G411">
        <v>50</v>
      </c>
      <c r="H411">
        <v>71</v>
      </c>
      <c r="I411">
        <v>3550</v>
      </c>
      <c r="J411">
        <v>0</v>
      </c>
      <c r="K411">
        <v>0</v>
      </c>
      <c r="L411">
        <v>3550</v>
      </c>
      <c r="M411" t="s">
        <v>542</v>
      </c>
      <c r="N411" t="s">
        <v>544</v>
      </c>
    </row>
    <row r="412" spans="1:14" x14ac:dyDescent="0.3">
      <c r="A412" t="s">
        <v>424</v>
      </c>
      <c r="B412" s="3">
        <v>45376</v>
      </c>
      <c r="C412" t="s">
        <v>522</v>
      </c>
      <c r="D412" t="s">
        <v>532</v>
      </c>
      <c r="E412" t="s">
        <v>540</v>
      </c>
      <c r="F412">
        <v>60</v>
      </c>
      <c r="G412">
        <v>65</v>
      </c>
      <c r="H412">
        <v>113</v>
      </c>
      <c r="I412">
        <v>7345</v>
      </c>
      <c r="J412">
        <v>0.22</v>
      </c>
      <c r="K412">
        <v>1615.9</v>
      </c>
      <c r="L412">
        <v>8960.9</v>
      </c>
      <c r="M412" t="s">
        <v>541</v>
      </c>
      <c r="N412" t="s">
        <v>547</v>
      </c>
    </row>
    <row r="413" spans="1:14" x14ac:dyDescent="0.3">
      <c r="A413" t="s">
        <v>425</v>
      </c>
      <c r="B413" s="3">
        <v>45690</v>
      </c>
      <c r="C413" t="s">
        <v>518</v>
      </c>
      <c r="D413" t="s">
        <v>531</v>
      </c>
      <c r="E413" t="s">
        <v>535</v>
      </c>
      <c r="F413">
        <v>6</v>
      </c>
      <c r="G413">
        <v>5</v>
      </c>
      <c r="H413">
        <v>281</v>
      </c>
      <c r="I413">
        <v>1405</v>
      </c>
      <c r="J413">
        <v>0.22</v>
      </c>
      <c r="K413">
        <v>309.10000000000002</v>
      </c>
      <c r="L413">
        <v>1714.1</v>
      </c>
      <c r="M413" t="s">
        <v>543</v>
      </c>
      <c r="N413" t="s">
        <v>552</v>
      </c>
    </row>
    <row r="414" spans="1:14" x14ac:dyDescent="0.3">
      <c r="A414" t="s">
        <v>426</v>
      </c>
      <c r="B414" s="3">
        <v>45660</v>
      </c>
      <c r="C414" t="s">
        <v>522</v>
      </c>
      <c r="D414" t="s">
        <v>527</v>
      </c>
      <c r="E414" t="s">
        <v>534</v>
      </c>
      <c r="F414">
        <v>67</v>
      </c>
      <c r="G414">
        <v>57</v>
      </c>
      <c r="H414">
        <v>204</v>
      </c>
      <c r="I414">
        <v>11628</v>
      </c>
      <c r="J414">
        <v>0.22</v>
      </c>
      <c r="K414">
        <v>2558.16</v>
      </c>
      <c r="L414">
        <v>14186.16</v>
      </c>
      <c r="M414" t="s">
        <v>543</v>
      </c>
      <c r="N414" t="s">
        <v>552</v>
      </c>
    </row>
    <row r="415" spans="1:14" x14ac:dyDescent="0.3">
      <c r="A415" t="s">
        <v>427</v>
      </c>
      <c r="B415" s="3">
        <v>45816</v>
      </c>
      <c r="C415" t="s">
        <v>515</v>
      </c>
      <c r="D415" t="s">
        <v>527</v>
      </c>
      <c r="E415" t="s">
        <v>535</v>
      </c>
      <c r="F415">
        <v>48</v>
      </c>
      <c r="G415">
        <v>47</v>
      </c>
      <c r="H415">
        <v>210</v>
      </c>
      <c r="I415">
        <v>9870</v>
      </c>
      <c r="J415">
        <v>0.22</v>
      </c>
      <c r="K415">
        <v>2171.4</v>
      </c>
      <c r="L415">
        <v>12041.4</v>
      </c>
      <c r="M415" t="s">
        <v>541</v>
      </c>
      <c r="N415" t="s">
        <v>544</v>
      </c>
    </row>
    <row r="416" spans="1:14" x14ac:dyDescent="0.3">
      <c r="A416" t="s">
        <v>428</v>
      </c>
      <c r="B416" s="3">
        <v>45624</v>
      </c>
      <c r="C416" t="s">
        <v>515</v>
      </c>
      <c r="D416" t="s">
        <v>524</v>
      </c>
      <c r="E416" t="s">
        <v>537</v>
      </c>
      <c r="F416">
        <v>83</v>
      </c>
      <c r="G416">
        <v>79</v>
      </c>
      <c r="H416">
        <v>288</v>
      </c>
      <c r="I416">
        <v>22752</v>
      </c>
      <c r="J416">
        <v>0.22</v>
      </c>
      <c r="K416">
        <v>5005.4399999999996</v>
      </c>
      <c r="L416">
        <v>27757.439999999999</v>
      </c>
      <c r="M416" t="s">
        <v>542</v>
      </c>
      <c r="N416" t="s">
        <v>545</v>
      </c>
    </row>
    <row r="417" spans="1:14" x14ac:dyDescent="0.3">
      <c r="A417" t="s">
        <v>429</v>
      </c>
      <c r="B417" s="3">
        <v>45540</v>
      </c>
      <c r="C417" t="s">
        <v>516</v>
      </c>
      <c r="D417" t="s">
        <v>532</v>
      </c>
      <c r="E417" t="s">
        <v>536</v>
      </c>
      <c r="F417">
        <v>14</v>
      </c>
      <c r="G417">
        <v>14</v>
      </c>
      <c r="H417">
        <v>125</v>
      </c>
      <c r="I417">
        <v>1750</v>
      </c>
      <c r="J417">
        <v>0.22</v>
      </c>
      <c r="K417">
        <v>385</v>
      </c>
      <c r="L417">
        <v>2135</v>
      </c>
      <c r="M417" t="s">
        <v>542</v>
      </c>
      <c r="N417" t="s">
        <v>548</v>
      </c>
    </row>
    <row r="418" spans="1:14" x14ac:dyDescent="0.3">
      <c r="A418" t="s">
        <v>430</v>
      </c>
      <c r="B418" s="3">
        <v>45600</v>
      </c>
      <c r="C418" t="s">
        <v>522</v>
      </c>
      <c r="D418" t="s">
        <v>533</v>
      </c>
      <c r="E418" t="s">
        <v>534</v>
      </c>
      <c r="F418">
        <v>69</v>
      </c>
      <c r="G418">
        <v>75</v>
      </c>
      <c r="H418">
        <v>238</v>
      </c>
      <c r="I418">
        <v>17850</v>
      </c>
      <c r="J418">
        <v>0.22</v>
      </c>
      <c r="K418">
        <v>3927</v>
      </c>
      <c r="L418">
        <v>21777</v>
      </c>
      <c r="M418" t="s">
        <v>543</v>
      </c>
      <c r="N418" t="s">
        <v>548</v>
      </c>
    </row>
    <row r="419" spans="1:14" x14ac:dyDescent="0.3">
      <c r="A419" t="s">
        <v>431</v>
      </c>
      <c r="B419" s="3">
        <v>45723</v>
      </c>
      <c r="C419" t="s">
        <v>522</v>
      </c>
      <c r="D419" t="s">
        <v>533</v>
      </c>
      <c r="E419" t="s">
        <v>538</v>
      </c>
      <c r="F419">
        <v>35</v>
      </c>
      <c r="G419">
        <v>38</v>
      </c>
      <c r="H419">
        <v>251</v>
      </c>
      <c r="I419">
        <v>9538</v>
      </c>
      <c r="J419">
        <v>0.22</v>
      </c>
      <c r="K419">
        <v>2098.36</v>
      </c>
      <c r="L419">
        <v>11636.36</v>
      </c>
      <c r="M419" t="s">
        <v>543</v>
      </c>
      <c r="N419" t="s">
        <v>549</v>
      </c>
    </row>
    <row r="420" spans="1:14" x14ac:dyDescent="0.3">
      <c r="A420" t="s">
        <v>432</v>
      </c>
      <c r="B420" s="3">
        <v>45799</v>
      </c>
      <c r="C420" t="s">
        <v>519</v>
      </c>
      <c r="D420" t="s">
        <v>533</v>
      </c>
      <c r="E420" t="s">
        <v>535</v>
      </c>
      <c r="F420">
        <v>41</v>
      </c>
      <c r="G420">
        <v>38</v>
      </c>
      <c r="H420">
        <v>109</v>
      </c>
      <c r="I420">
        <v>4142</v>
      </c>
      <c r="J420">
        <v>0.22</v>
      </c>
      <c r="K420">
        <v>911.24</v>
      </c>
      <c r="L420">
        <v>5053.24</v>
      </c>
      <c r="M420" t="s">
        <v>542</v>
      </c>
      <c r="N420" t="s">
        <v>546</v>
      </c>
    </row>
    <row r="421" spans="1:14" x14ac:dyDescent="0.3">
      <c r="A421" t="s">
        <v>433</v>
      </c>
      <c r="B421" s="3">
        <v>45632</v>
      </c>
      <c r="C421" t="s">
        <v>515</v>
      </c>
      <c r="D421" t="s">
        <v>531</v>
      </c>
      <c r="E421" t="s">
        <v>540</v>
      </c>
      <c r="F421">
        <v>33</v>
      </c>
      <c r="G421">
        <v>30</v>
      </c>
      <c r="H421">
        <v>138</v>
      </c>
      <c r="I421">
        <v>4140</v>
      </c>
      <c r="J421">
        <v>0.22</v>
      </c>
      <c r="K421">
        <v>910.8</v>
      </c>
      <c r="L421">
        <v>5050.8</v>
      </c>
      <c r="M421" t="s">
        <v>541</v>
      </c>
      <c r="N421" t="s">
        <v>553</v>
      </c>
    </row>
    <row r="422" spans="1:14" x14ac:dyDescent="0.3">
      <c r="A422" t="s">
        <v>434</v>
      </c>
      <c r="B422" s="3">
        <v>45431</v>
      </c>
      <c r="C422" t="s">
        <v>522</v>
      </c>
      <c r="D422" t="s">
        <v>531</v>
      </c>
      <c r="E422" t="s">
        <v>539</v>
      </c>
      <c r="F422">
        <v>57</v>
      </c>
      <c r="G422">
        <v>51</v>
      </c>
      <c r="H422">
        <v>250</v>
      </c>
      <c r="I422">
        <v>12750</v>
      </c>
      <c r="J422">
        <v>0.1</v>
      </c>
      <c r="K422">
        <v>1275</v>
      </c>
      <c r="L422">
        <v>14025</v>
      </c>
      <c r="M422" t="s">
        <v>542</v>
      </c>
      <c r="N422" t="s">
        <v>552</v>
      </c>
    </row>
    <row r="423" spans="1:14" x14ac:dyDescent="0.3">
      <c r="A423" t="s">
        <v>435</v>
      </c>
      <c r="B423" s="3">
        <v>45613</v>
      </c>
      <c r="C423" t="s">
        <v>521</v>
      </c>
      <c r="D423" t="s">
        <v>530</v>
      </c>
      <c r="E423" t="s">
        <v>537</v>
      </c>
      <c r="F423">
        <v>58</v>
      </c>
      <c r="G423">
        <v>52</v>
      </c>
      <c r="H423">
        <v>225</v>
      </c>
      <c r="I423">
        <v>11700</v>
      </c>
      <c r="J423">
        <v>0.22</v>
      </c>
      <c r="K423">
        <v>2574</v>
      </c>
      <c r="L423">
        <v>14274</v>
      </c>
      <c r="M423" t="s">
        <v>541</v>
      </c>
      <c r="N423" t="s">
        <v>552</v>
      </c>
    </row>
    <row r="424" spans="1:14" x14ac:dyDescent="0.3">
      <c r="A424" t="s">
        <v>436</v>
      </c>
      <c r="B424" s="3">
        <v>45540</v>
      </c>
      <c r="C424" t="s">
        <v>518</v>
      </c>
      <c r="D424" t="s">
        <v>530</v>
      </c>
      <c r="E424" t="s">
        <v>537</v>
      </c>
      <c r="F424">
        <v>66</v>
      </c>
      <c r="G424">
        <v>79</v>
      </c>
      <c r="H424">
        <v>89</v>
      </c>
      <c r="I424">
        <v>7031</v>
      </c>
      <c r="J424">
        <v>0.22</v>
      </c>
      <c r="K424">
        <v>1546.82</v>
      </c>
      <c r="L424">
        <v>8577.82</v>
      </c>
      <c r="M424" t="s">
        <v>543</v>
      </c>
      <c r="N424" t="s">
        <v>551</v>
      </c>
    </row>
    <row r="425" spans="1:14" x14ac:dyDescent="0.3">
      <c r="A425" t="s">
        <v>437</v>
      </c>
      <c r="B425" s="3">
        <v>45408</v>
      </c>
      <c r="C425" t="s">
        <v>519</v>
      </c>
      <c r="D425" t="s">
        <v>526</v>
      </c>
      <c r="E425" t="s">
        <v>539</v>
      </c>
      <c r="F425">
        <v>51</v>
      </c>
      <c r="G425">
        <v>51</v>
      </c>
      <c r="H425">
        <v>140</v>
      </c>
      <c r="I425">
        <v>7140</v>
      </c>
      <c r="J425">
        <v>0</v>
      </c>
      <c r="K425">
        <v>0</v>
      </c>
      <c r="L425">
        <v>7140</v>
      </c>
      <c r="M425" t="s">
        <v>542</v>
      </c>
      <c r="N425" t="s">
        <v>545</v>
      </c>
    </row>
    <row r="426" spans="1:14" x14ac:dyDescent="0.3">
      <c r="A426" t="s">
        <v>438</v>
      </c>
      <c r="B426" s="3">
        <v>45319</v>
      </c>
      <c r="C426" t="s">
        <v>517</v>
      </c>
      <c r="D426" t="s">
        <v>525</v>
      </c>
      <c r="E426" t="s">
        <v>540</v>
      </c>
      <c r="F426">
        <v>4</v>
      </c>
      <c r="G426">
        <v>5</v>
      </c>
      <c r="H426">
        <v>88</v>
      </c>
      <c r="I426">
        <v>440</v>
      </c>
      <c r="J426">
        <v>0.22</v>
      </c>
      <c r="K426">
        <v>96.8</v>
      </c>
      <c r="L426">
        <v>536.79999999999995</v>
      </c>
      <c r="M426" t="s">
        <v>541</v>
      </c>
      <c r="N426" t="s">
        <v>544</v>
      </c>
    </row>
    <row r="427" spans="1:14" x14ac:dyDescent="0.3">
      <c r="A427" t="s">
        <v>439</v>
      </c>
      <c r="B427" s="3">
        <v>45710</v>
      </c>
      <c r="C427" t="s">
        <v>517</v>
      </c>
      <c r="D427" t="s">
        <v>532</v>
      </c>
      <c r="E427" t="s">
        <v>536</v>
      </c>
      <c r="F427">
        <v>4</v>
      </c>
      <c r="G427">
        <v>4</v>
      </c>
      <c r="H427">
        <v>197</v>
      </c>
      <c r="I427">
        <v>788</v>
      </c>
      <c r="J427">
        <v>0.22</v>
      </c>
      <c r="K427">
        <v>173.36</v>
      </c>
      <c r="L427">
        <v>961.36</v>
      </c>
      <c r="M427" t="s">
        <v>543</v>
      </c>
      <c r="N427" t="s">
        <v>547</v>
      </c>
    </row>
    <row r="428" spans="1:14" x14ac:dyDescent="0.3">
      <c r="A428" t="s">
        <v>440</v>
      </c>
      <c r="B428" s="3">
        <v>45725</v>
      </c>
      <c r="C428" t="s">
        <v>515</v>
      </c>
      <c r="D428" t="s">
        <v>527</v>
      </c>
      <c r="E428" t="s">
        <v>540</v>
      </c>
      <c r="F428">
        <v>55</v>
      </c>
      <c r="G428">
        <v>56</v>
      </c>
      <c r="H428">
        <v>204</v>
      </c>
      <c r="I428">
        <v>11424</v>
      </c>
      <c r="J428">
        <v>0.1</v>
      </c>
      <c r="K428">
        <v>1142.4000000000001</v>
      </c>
      <c r="L428">
        <v>12566.4</v>
      </c>
      <c r="M428" t="s">
        <v>543</v>
      </c>
      <c r="N428" t="s">
        <v>553</v>
      </c>
    </row>
    <row r="429" spans="1:14" x14ac:dyDescent="0.3">
      <c r="A429" t="s">
        <v>441</v>
      </c>
      <c r="B429" s="3">
        <v>45702</v>
      </c>
      <c r="C429" t="s">
        <v>516</v>
      </c>
      <c r="D429" t="s">
        <v>528</v>
      </c>
      <c r="E429" t="s">
        <v>538</v>
      </c>
      <c r="F429">
        <v>85</v>
      </c>
      <c r="G429">
        <v>74</v>
      </c>
      <c r="H429">
        <v>76</v>
      </c>
      <c r="I429">
        <v>5624</v>
      </c>
      <c r="J429">
        <v>0.22</v>
      </c>
      <c r="K429">
        <v>1237.28</v>
      </c>
      <c r="L429">
        <v>6861.28</v>
      </c>
      <c r="M429" t="s">
        <v>541</v>
      </c>
      <c r="N429" t="s">
        <v>550</v>
      </c>
    </row>
    <row r="430" spans="1:14" x14ac:dyDescent="0.3">
      <c r="A430" t="s">
        <v>442</v>
      </c>
      <c r="B430" s="3">
        <v>45660</v>
      </c>
      <c r="C430" t="s">
        <v>516</v>
      </c>
      <c r="D430" t="s">
        <v>526</v>
      </c>
      <c r="E430" t="s">
        <v>536</v>
      </c>
      <c r="F430">
        <v>65</v>
      </c>
      <c r="G430">
        <v>69</v>
      </c>
      <c r="H430">
        <v>93</v>
      </c>
      <c r="I430">
        <v>6417</v>
      </c>
      <c r="J430">
        <v>0</v>
      </c>
      <c r="K430">
        <v>0</v>
      </c>
      <c r="L430">
        <v>6417</v>
      </c>
      <c r="M430" t="s">
        <v>542</v>
      </c>
      <c r="N430" t="s">
        <v>544</v>
      </c>
    </row>
    <row r="431" spans="1:14" x14ac:dyDescent="0.3">
      <c r="A431" t="s">
        <v>443</v>
      </c>
      <c r="B431" s="3">
        <v>45546</v>
      </c>
      <c r="C431" t="s">
        <v>518</v>
      </c>
      <c r="D431" t="s">
        <v>532</v>
      </c>
      <c r="E431" t="s">
        <v>536</v>
      </c>
      <c r="F431">
        <v>5</v>
      </c>
      <c r="G431">
        <v>6</v>
      </c>
      <c r="H431">
        <v>112</v>
      </c>
      <c r="I431">
        <v>672</v>
      </c>
      <c r="J431">
        <v>0.22</v>
      </c>
      <c r="K431">
        <v>147.84</v>
      </c>
      <c r="L431">
        <v>819.84</v>
      </c>
      <c r="M431" t="s">
        <v>541</v>
      </c>
      <c r="N431" t="s">
        <v>546</v>
      </c>
    </row>
    <row r="432" spans="1:14" x14ac:dyDescent="0.3">
      <c r="A432" t="s">
        <v>444</v>
      </c>
      <c r="B432" s="3">
        <v>45631</v>
      </c>
      <c r="C432" t="s">
        <v>515</v>
      </c>
      <c r="D432" t="s">
        <v>527</v>
      </c>
      <c r="E432" t="s">
        <v>535</v>
      </c>
      <c r="F432">
        <v>57</v>
      </c>
      <c r="G432">
        <v>66</v>
      </c>
      <c r="H432">
        <v>264</v>
      </c>
      <c r="I432">
        <v>17424</v>
      </c>
      <c r="J432">
        <v>0.22</v>
      </c>
      <c r="K432">
        <v>3833.28</v>
      </c>
      <c r="L432">
        <v>21257.279999999999</v>
      </c>
      <c r="M432" t="s">
        <v>542</v>
      </c>
      <c r="N432" t="s">
        <v>545</v>
      </c>
    </row>
    <row r="433" spans="1:14" x14ac:dyDescent="0.3">
      <c r="A433" t="s">
        <v>445</v>
      </c>
      <c r="B433" s="3">
        <v>45823</v>
      </c>
      <c r="C433" t="s">
        <v>516</v>
      </c>
      <c r="D433" t="s">
        <v>526</v>
      </c>
      <c r="E433" t="s">
        <v>536</v>
      </c>
      <c r="F433">
        <v>47</v>
      </c>
      <c r="G433">
        <v>43</v>
      </c>
      <c r="H433">
        <v>299</v>
      </c>
      <c r="I433">
        <v>12857</v>
      </c>
      <c r="J433">
        <v>0</v>
      </c>
      <c r="K433">
        <v>0</v>
      </c>
      <c r="L433">
        <v>12857</v>
      </c>
      <c r="M433" t="s">
        <v>541</v>
      </c>
      <c r="N433" t="s">
        <v>549</v>
      </c>
    </row>
    <row r="434" spans="1:14" x14ac:dyDescent="0.3">
      <c r="A434" t="s">
        <v>446</v>
      </c>
      <c r="B434" s="3">
        <v>45748</v>
      </c>
      <c r="C434" t="s">
        <v>518</v>
      </c>
      <c r="D434" t="s">
        <v>530</v>
      </c>
      <c r="E434" t="s">
        <v>540</v>
      </c>
      <c r="F434">
        <v>79</v>
      </c>
      <c r="G434">
        <v>75</v>
      </c>
      <c r="H434">
        <v>174</v>
      </c>
      <c r="I434">
        <v>13050</v>
      </c>
      <c r="J434">
        <v>0.22</v>
      </c>
      <c r="K434">
        <v>2871</v>
      </c>
      <c r="L434">
        <v>15921</v>
      </c>
      <c r="M434" t="s">
        <v>541</v>
      </c>
      <c r="N434" t="s">
        <v>545</v>
      </c>
    </row>
    <row r="435" spans="1:14" x14ac:dyDescent="0.3">
      <c r="A435" t="s">
        <v>447</v>
      </c>
      <c r="B435" s="3">
        <v>45446</v>
      </c>
      <c r="C435" t="s">
        <v>518</v>
      </c>
      <c r="D435" t="s">
        <v>524</v>
      </c>
      <c r="E435" t="s">
        <v>540</v>
      </c>
      <c r="F435">
        <v>19</v>
      </c>
      <c r="G435">
        <v>23</v>
      </c>
      <c r="H435">
        <v>242</v>
      </c>
      <c r="I435">
        <v>5566</v>
      </c>
      <c r="J435">
        <v>0.22</v>
      </c>
      <c r="K435">
        <v>1224.52</v>
      </c>
      <c r="L435">
        <v>6790.52</v>
      </c>
      <c r="M435" t="s">
        <v>543</v>
      </c>
      <c r="N435" t="s">
        <v>544</v>
      </c>
    </row>
    <row r="436" spans="1:14" x14ac:dyDescent="0.3">
      <c r="A436" t="s">
        <v>448</v>
      </c>
      <c r="B436" s="3">
        <v>45410</v>
      </c>
      <c r="C436" t="s">
        <v>521</v>
      </c>
      <c r="D436" t="s">
        <v>531</v>
      </c>
      <c r="E436" t="s">
        <v>537</v>
      </c>
      <c r="F436">
        <v>67</v>
      </c>
      <c r="G436">
        <v>80</v>
      </c>
      <c r="H436">
        <v>154</v>
      </c>
      <c r="I436">
        <v>12320</v>
      </c>
      <c r="J436">
        <v>0.22</v>
      </c>
      <c r="K436">
        <v>2710.4</v>
      </c>
      <c r="L436">
        <v>15030.4</v>
      </c>
      <c r="M436" t="s">
        <v>542</v>
      </c>
      <c r="N436" t="s">
        <v>545</v>
      </c>
    </row>
    <row r="437" spans="1:14" x14ac:dyDescent="0.3">
      <c r="A437" t="s">
        <v>449</v>
      </c>
      <c r="B437" s="3">
        <v>45786</v>
      </c>
      <c r="C437" t="s">
        <v>518</v>
      </c>
      <c r="D437" t="s">
        <v>533</v>
      </c>
      <c r="E437" t="s">
        <v>535</v>
      </c>
      <c r="F437">
        <v>81</v>
      </c>
      <c r="G437">
        <v>75</v>
      </c>
      <c r="H437">
        <v>177</v>
      </c>
      <c r="I437">
        <v>13275</v>
      </c>
      <c r="J437">
        <v>0.22</v>
      </c>
      <c r="K437">
        <v>2920.5</v>
      </c>
      <c r="L437">
        <v>16195.5</v>
      </c>
      <c r="M437" t="s">
        <v>541</v>
      </c>
      <c r="N437" t="s">
        <v>552</v>
      </c>
    </row>
    <row r="438" spans="1:14" x14ac:dyDescent="0.3">
      <c r="A438" t="s">
        <v>450</v>
      </c>
      <c r="B438" s="3">
        <v>45618</v>
      </c>
      <c r="C438" t="s">
        <v>520</v>
      </c>
      <c r="D438" t="s">
        <v>523</v>
      </c>
      <c r="E438" t="s">
        <v>535</v>
      </c>
      <c r="F438">
        <v>13</v>
      </c>
      <c r="G438">
        <v>16</v>
      </c>
      <c r="H438">
        <v>67</v>
      </c>
      <c r="I438">
        <v>1072</v>
      </c>
      <c r="J438">
        <v>0.22</v>
      </c>
      <c r="K438">
        <v>235.84</v>
      </c>
      <c r="L438">
        <v>1307.8399999999999</v>
      </c>
      <c r="M438" t="s">
        <v>542</v>
      </c>
      <c r="N438" t="s">
        <v>550</v>
      </c>
    </row>
    <row r="439" spans="1:14" x14ac:dyDescent="0.3">
      <c r="A439" t="s">
        <v>451</v>
      </c>
      <c r="B439" s="3">
        <v>45643</v>
      </c>
      <c r="C439" t="s">
        <v>520</v>
      </c>
      <c r="D439" t="s">
        <v>529</v>
      </c>
      <c r="E439" t="s">
        <v>538</v>
      </c>
      <c r="F439">
        <v>5</v>
      </c>
      <c r="G439">
        <v>4</v>
      </c>
      <c r="H439">
        <v>163</v>
      </c>
      <c r="I439">
        <v>652</v>
      </c>
      <c r="J439">
        <v>0</v>
      </c>
      <c r="K439">
        <v>0</v>
      </c>
      <c r="L439">
        <v>652</v>
      </c>
      <c r="M439" t="s">
        <v>542</v>
      </c>
      <c r="N439" t="s">
        <v>549</v>
      </c>
    </row>
    <row r="440" spans="1:14" x14ac:dyDescent="0.3">
      <c r="A440" t="s">
        <v>452</v>
      </c>
      <c r="B440" s="3">
        <v>45820</v>
      </c>
      <c r="C440" t="s">
        <v>521</v>
      </c>
      <c r="D440" t="s">
        <v>528</v>
      </c>
      <c r="E440" t="s">
        <v>534</v>
      </c>
      <c r="F440">
        <v>4</v>
      </c>
      <c r="G440">
        <v>4</v>
      </c>
      <c r="H440">
        <v>243</v>
      </c>
      <c r="I440">
        <v>972</v>
      </c>
      <c r="J440">
        <v>0.22</v>
      </c>
      <c r="K440">
        <v>213.84</v>
      </c>
      <c r="L440">
        <v>1185.8399999999999</v>
      </c>
      <c r="M440" t="s">
        <v>543</v>
      </c>
      <c r="N440" t="s">
        <v>552</v>
      </c>
    </row>
    <row r="441" spans="1:14" x14ac:dyDescent="0.3">
      <c r="A441" t="s">
        <v>453</v>
      </c>
      <c r="B441" s="3">
        <v>45529</v>
      </c>
      <c r="C441" t="s">
        <v>515</v>
      </c>
      <c r="D441" t="s">
        <v>529</v>
      </c>
      <c r="E441" t="s">
        <v>534</v>
      </c>
      <c r="F441">
        <v>21</v>
      </c>
      <c r="G441">
        <v>25</v>
      </c>
      <c r="H441">
        <v>254</v>
      </c>
      <c r="I441">
        <v>6350</v>
      </c>
      <c r="J441">
        <v>0</v>
      </c>
      <c r="K441">
        <v>0</v>
      </c>
      <c r="L441">
        <v>6350</v>
      </c>
      <c r="M441" t="s">
        <v>542</v>
      </c>
      <c r="N441" t="s">
        <v>546</v>
      </c>
    </row>
    <row r="442" spans="1:14" x14ac:dyDescent="0.3">
      <c r="A442" t="s">
        <v>454</v>
      </c>
      <c r="B442" s="3">
        <v>45697</v>
      </c>
      <c r="C442" t="s">
        <v>514</v>
      </c>
      <c r="D442" t="s">
        <v>526</v>
      </c>
      <c r="E442" t="s">
        <v>534</v>
      </c>
      <c r="F442">
        <v>56</v>
      </c>
      <c r="G442">
        <v>67</v>
      </c>
      <c r="H442">
        <v>214</v>
      </c>
      <c r="I442">
        <v>14338</v>
      </c>
      <c r="J442">
        <v>0</v>
      </c>
      <c r="K442">
        <v>0</v>
      </c>
      <c r="L442">
        <v>14338</v>
      </c>
      <c r="M442" t="s">
        <v>543</v>
      </c>
      <c r="N442" t="s">
        <v>553</v>
      </c>
    </row>
    <row r="443" spans="1:14" x14ac:dyDescent="0.3">
      <c r="A443" t="s">
        <v>455</v>
      </c>
      <c r="B443" s="3">
        <v>45731</v>
      </c>
      <c r="C443" t="s">
        <v>515</v>
      </c>
      <c r="D443" t="s">
        <v>524</v>
      </c>
      <c r="E443" t="s">
        <v>536</v>
      </c>
      <c r="F443">
        <v>38</v>
      </c>
      <c r="G443">
        <v>32</v>
      </c>
      <c r="H443">
        <v>237</v>
      </c>
      <c r="I443">
        <v>7584</v>
      </c>
      <c r="J443">
        <v>0.22</v>
      </c>
      <c r="K443">
        <v>1668.48</v>
      </c>
      <c r="L443">
        <v>9252.48</v>
      </c>
      <c r="M443" t="s">
        <v>543</v>
      </c>
      <c r="N443" t="s">
        <v>544</v>
      </c>
    </row>
    <row r="444" spans="1:14" x14ac:dyDescent="0.3">
      <c r="A444" t="s">
        <v>456</v>
      </c>
      <c r="B444" s="3">
        <v>45396</v>
      </c>
      <c r="C444" t="s">
        <v>516</v>
      </c>
      <c r="D444" t="s">
        <v>532</v>
      </c>
      <c r="E444" t="s">
        <v>537</v>
      </c>
      <c r="F444">
        <v>58</v>
      </c>
      <c r="G444">
        <v>61</v>
      </c>
      <c r="H444">
        <v>181</v>
      </c>
      <c r="I444">
        <v>11041</v>
      </c>
      <c r="J444">
        <v>0.22</v>
      </c>
      <c r="K444">
        <v>2429.02</v>
      </c>
      <c r="L444">
        <v>13470.02</v>
      </c>
      <c r="M444" t="s">
        <v>543</v>
      </c>
      <c r="N444" t="s">
        <v>544</v>
      </c>
    </row>
    <row r="445" spans="1:14" x14ac:dyDescent="0.3">
      <c r="A445" t="s">
        <v>457</v>
      </c>
      <c r="B445" s="3">
        <v>45560</v>
      </c>
      <c r="C445" t="s">
        <v>517</v>
      </c>
      <c r="D445" t="s">
        <v>528</v>
      </c>
      <c r="E445" t="s">
        <v>536</v>
      </c>
      <c r="F445">
        <v>48</v>
      </c>
      <c r="G445">
        <v>51</v>
      </c>
      <c r="H445">
        <v>206</v>
      </c>
      <c r="I445">
        <v>10506</v>
      </c>
      <c r="J445">
        <v>0.22</v>
      </c>
      <c r="K445">
        <v>2311.3200000000002</v>
      </c>
      <c r="L445">
        <v>12817.32</v>
      </c>
      <c r="M445" t="s">
        <v>543</v>
      </c>
      <c r="N445" t="s">
        <v>553</v>
      </c>
    </row>
    <row r="446" spans="1:14" x14ac:dyDescent="0.3">
      <c r="A446" t="s">
        <v>458</v>
      </c>
      <c r="B446" s="3">
        <v>45693</v>
      </c>
      <c r="C446" t="s">
        <v>520</v>
      </c>
      <c r="D446" t="s">
        <v>531</v>
      </c>
      <c r="E446" t="s">
        <v>537</v>
      </c>
      <c r="F446">
        <v>24</v>
      </c>
      <c r="G446">
        <v>21</v>
      </c>
      <c r="H446">
        <v>64</v>
      </c>
      <c r="I446">
        <v>1344</v>
      </c>
      <c r="J446">
        <v>0.22</v>
      </c>
      <c r="K446">
        <v>295.68</v>
      </c>
      <c r="L446">
        <v>1639.68</v>
      </c>
      <c r="M446" t="s">
        <v>541</v>
      </c>
      <c r="N446" t="s">
        <v>547</v>
      </c>
    </row>
    <row r="447" spans="1:14" x14ac:dyDescent="0.3">
      <c r="A447" t="s">
        <v>459</v>
      </c>
      <c r="B447" s="3">
        <v>45596</v>
      </c>
      <c r="C447" t="s">
        <v>520</v>
      </c>
      <c r="D447" t="s">
        <v>529</v>
      </c>
      <c r="E447" t="s">
        <v>534</v>
      </c>
      <c r="F447">
        <v>50</v>
      </c>
      <c r="G447">
        <v>42</v>
      </c>
      <c r="H447">
        <v>120</v>
      </c>
      <c r="I447">
        <v>5040</v>
      </c>
      <c r="J447">
        <v>0</v>
      </c>
      <c r="K447">
        <v>0</v>
      </c>
      <c r="L447">
        <v>5040</v>
      </c>
      <c r="M447" t="s">
        <v>543</v>
      </c>
      <c r="N447" t="s">
        <v>544</v>
      </c>
    </row>
    <row r="448" spans="1:14" x14ac:dyDescent="0.3">
      <c r="A448" t="s">
        <v>460</v>
      </c>
      <c r="B448" s="3">
        <v>45536</v>
      </c>
      <c r="C448" t="s">
        <v>522</v>
      </c>
      <c r="D448" t="s">
        <v>527</v>
      </c>
      <c r="E448" t="s">
        <v>534</v>
      </c>
      <c r="F448">
        <v>26</v>
      </c>
      <c r="G448">
        <v>22</v>
      </c>
      <c r="H448">
        <v>208</v>
      </c>
      <c r="I448">
        <v>4576</v>
      </c>
      <c r="J448">
        <v>0.22</v>
      </c>
      <c r="K448">
        <v>1006.72</v>
      </c>
      <c r="L448">
        <v>5582.72</v>
      </c>
      <c r="M448" t="s">
        <v>542</v>
      </c>
      <c r="N448" t="s">
        <v>545</v>
      </c>
    </row>
    <row r="449" spans="1:14" x14ac:dyDescent="0.3">
      <c r="A449" t="s">
        <v>461</v>
      </c>
      <c r="B449" s="3">
        <v>45689</v>
      </c>
      <c r="C449" t="s">
        <v>515</v>
      </c>
      <c r="D449" t="s">
        <v>526</v>
      </c>
      <c r="E449" t="s">
        <v>534</v>
      </c>
      <c r="F449">
        <v>77</v>
      </c>
      <c r="G449">
        <v>70</v>
      </c>
      <c r="H449">
        <v>60</v>
      </c>
      <c r="I449">
        <v>4200</v>
      </c>
      <c r="J449">
        <v>0</v>
      </c>
      <c r="K449">
        <v>0</v>
      </c>
      <c r="L449">
        <v>4200</v>
      </c>
      <c r="M449" t="s">
        <v>541</v>
      </c>
      <c r="N449" t="s">
        <v>546</v>
      </c>
    </row>
    <row r="450" spans="1:14" x14ac:dyDescent="0.3">
      <c r="A450" t="s">
        <v>462</v>
      </c>
      <c r="B450" s="3">
        <v>45725</v>
      </c>
      <c r="C450" t="s">
        <v>521</v>
      </c>
      <c r="D450" t="s">
        <v>533</v>
      </c>
      <c r="E450" t="s">
        <v>536</v>
      </c>
      <c r="F450">
        <v>5</v>
      </c>
      <c r="G450">
        <v>5</v>
      </c>
      <c r="H450">
        <v>292</v>
      </c>
      <c r="I450">
        <v>1460</v>
      </c>
      <c r="J450">
        <v>0.22</v>
      </c>
      <c r="K450">
        <v>321.2</v>
      </c>
      <c r="L450">
        <v>1781.2</v>
      </c>
      <c r="M450" t="s">
        <v>541</v>
      </c>
      <c r="N450" t="s">
        <v>547</v>
      </c>
    </row>
    <row r="451" spans="1:14" x14ac:dyDescent="0.3">
      <c r="A451" t="s">
        <v>463</v>
      </c>
      <c r="B451" s="3">
        <v>45462</v>
      </c>
      <c r="C451" t="s">
        <v>517</v>
      </c>
      <c r="D451" t="s">
        <v>523</v>
      </c>
      <c r="E451" t="s">
        <v>534</v>
      </c>
      <c r="F451">
        <v>10</v>
      </c>
      <c r="G451">
        <v>12</v>
      </c>
      <c r="H451">
        <v>149</v>
      </c>
      <c r="I451">
        <v>1788</v>
      </c>
      <c r="J451">
        <v>0.22</v>
      </c>
      <c r="K451">
        <v>393.36</v>
      </c>
      <c r="L451">
        <v>2181.36</v>
      </c>
      <c r="M451" t="s">
        <v>543</v>
      </c>
      <c r="N451" t="s">
        <v>553</v>
      </c>
    </row>
    <row r="452" spans="1:14" x14ac:dyDescent="0.3">
      <c r="A452" t="s">
        <v>464</v>
      </c>
      <c r="B452" s="3">
        <v>45346</v>
      </c>
      <c r="C452" t="s">
        <v>518</v>
      </c>
      <c r="D452" t="s">
        <v>524</v>
      </c>
      <c r="E452" t="s">
        <v>540</v>
      </c>
      <c r="F452">
        <v>51</v>
      </c>
      <c r="G452">
        <v>46</v>
      </c>
      <c r="H452">
        <v>93</v>
      </c>
      <c r="I452">
        <v>4278</v>
      </c>
      <c r="J452">
        <v>0.22</v>
      </c>
      <c r="K452">
        <v>941.16</v>
      </c>
      <c r="L452">
        <v>5219.16</v>
      </c>
      <c r="M452" t="s">
        <v>543</v>
      </c>
      <c r="N452" t="s">
        <v>545</v>
      </c>
    </row>
    <row r="453" spans="1:14" x14ac:dyDescent="0.3">
      <c r="A453" t="s">
        <v>465</v>
      </c>
      <c r="B453" s="3">
        <v>45809</v>
      </c>
      <c r="C453" t="s">
        <v>517</v>
      </c>
      <c r="D453" t="s">
        <v>530</v>
      </c>
      <c r="E453" t="s">
        <v>536</v>
      </c>
      <c r="F453">
        <v>50</v>
      </c>
      <c r="G453">
        <v>49</v>
      </c>
      <c r="H453">
        <v>137</v>
      </c>
      <c r="I453">
        <v>6713</v>
      </c>
      <c r="J453">
        <v>0.22</v>
      </c>
      <c r="K453">
        <v>1476.86</v>
      </c>
      <c r="L453">
        <v>8189.86</v>
      </c>
      <c r="M453" t="s">
        <v>541</v>
      </c>
      <c r="N453" t="s">
        <v>552</v>
      </c>
    </row>
    <row r="454" spans="1:14" x14ac:dyDescent="0.3">
      <c r="A454" t="s">
        <v>466</v>
      </c>
      <c r="B454" s="3">
        <v>45792</v>
      </c>
      <c r="C454" t="s">
        <v>521</v>
      </c>
      <c r="D454" t="s">
        <v>527</v>
      </c>
      <c r="E454" t="s">
        <v>539</v>
      </c>
      <c r="F454">
        <v>44</v>
      </c>
      <c r="G454">
        <v>45</v>
      </c>
      <c r="H454">
        <v>214</v>
      </c>
      <c r="I454">
        <v>9630</v>
      </c>
      <c r="J454">
        <v>0.22</v>
      </c>
      <c r="K454">
        <v>2118.6</v>
      </c>
      <c r="L454">
        <v>11748.6</v>
      </c>
      <c r="M454" t="s">
        <v>542</v>
      </c>
      <c r="N454" t="s">
        <v>548</v>
      </c>
    </row>
    <row r="455" spans="1:14" x14ac:dyDescent="0.3">
      <c r="A455" t="s">
        <v>467</v>
      </c>
      <c r="B455" s="3">
        <v>45325</v>
      </c>
      <c r="C455" t="s">
        <v>522</v>
      </c>
      <c r="D455" t="s">
        <v>525</v>
      </c>
      <c r="E455" t="s">
        <v>539</v>
      </c>
      <c r="F455">
        <v>85</v>
      </c>
      <c r="G455">
        <v>73</v>
      </c>
      <c r="H455">
        <v>85</v>
      </c>
      <c r="I455">
        <v>6205</v>
      </c>
      <c r="J455">
        <v>0.22</v>
      </c>
      <c r="K455">
        <v>1365.1</v>
      </c>
      <c r="L455">
        <v>7570.1</v>
      </c>
      <c r="M455" t="s">
        <v>543</v>
      </c>
      <c r="N455" t="s">
        <v>553</v>
      </c>
    </row>
    <row r="456" spans="1:14" x14ac:dyDescent="0.3">
      <c r="A456" t="s">
        <v>468</v>
      </c>
      <c r="B456" s="3">
        <v>45799</v>
      </c>
      <c r="C456" t="s">
        <v>516</v>
      </c>
      <c r="D456" t="s">
        <v>528</v>
      </c>
      <c r="E456" t="s">
        <v>535</v>
      </c>
      <c r="F456">
        <v>40</v>
      </c>
      <c r="G456">
        <v>47</v>
      </c>
      <c r="H456">
        <v>180</v>
      </c>
      <c r="I456">
        <v>8460</v>
      </c>
      <c r="J456">
        <v>0.22</v>
      </c>
      <c r="K456">
        <v>1861.2</v>
      </c>
      <c r="L456">
        <v>10321.200000000001</v>
      </c>
      <c r="M456" t="s">
        <v>543</v>
      </c>
      <c r="N456" t="s">
        <v>545</v>
      </c>
    </row>
    <row r="457" spans="1:14" x14ac:dyDescent="0.3">
      <c r="A457" t="s">
        <v>469</v>
      </c>
      <c r="B457" s="3">
        <v>45667</v>
      </c>
      <c r="C457" t="s">
        <v>516</v>
      </c>
      <c r="D457" t="s">
        <v>524</v>
      </c>
      <c r="E457" t="s">
        <v>538</v>
      </c>
      <c r="F457">
        <v>56</v>
      </c>
      <c r="G457">
        <v>56</v>
      </c>
      <c r="H457">
        <v>153</v>
      </c>
      <c r="I457">
        <v>8568</v>
      </c>
      <c r="J457">
        <v>0.22</v>
      </c>
      <c r="K457">
        <v>1884.96</v>
      </c>
      <c r="L457">
        <v>10452.959999999999</v>
      </c>
      <c r="M457" t="s">
        <v>541</v>
      </c>
      <c r="N457" t="s">
        <v>549</v>
      </c>
    </row>
    <row r="458" spans="1:14" x14ac:dyDescent="0.3">
      <c r="A458" t="s">
        <v>470</v>
      </c>
      <c r="B458" s="3">
        <v>45727</v>
      </c>
      <c r="C458" t="s">
        <v>520</v>
      </c>
      <c r="D458" t="s">
        <v>529</v>
      </c>
      <c r="E458" t="s">
        <v>538</v>
      </c>
      <c r="F458">
        <v>51</v>
      </c>
      <c r="G458">
        <v>63</v>
      </c>
      <c r="H458">
        <v>107</v>
      </c>
      <c r="I458">
        <v>6741</v>
      </c>
      <c r="J458">
        <v>0</v>
      </c>
      <c r="K458">
        <v>0</v>
      </c>
      <c r="L458">
        <v>6741</v>
      </c>
      <c r="M458" t="s">
        <v>542</v>
      </c>
      <c r="N458" t="s">
        <v>548</v>
      </c>
    </row>
    <row r="459" spans="1:14" x14ac:dyDescent="0.3">
      <c r="A459" t="s">
        <v>471</v>
      </c>
      <c r="B459" s="3">
        <v>45325</v>
      </c>
      <c r="C459" t="s">
        <v>517</v>
      </c>
      <c r="D459" t="s">
        <v>523</v>
      </c>
      <c r="E459" t="s">
        <v>537</v>
      </c>
      <c r="F459">
        <v>60</v>
      </c>
      <c r="G459">
        <v>61</v>
      </c>
      <c r="H459">
        <v>140</v>
      </c>
      <c r="I459">
        <v>8540</v>
      </c>
      <c r="J459">
        <v>0.1</v>
      </c>
      <c r="K459">
        <v>854</v>
      </c>
      <c r="L459">
        <v>9394</v>
      </c>
      <c r="M459" t="s">
        <v>542</v>
      </c>
      <c r="N459" t="s">
        <v>552</v>
      </c>
    </row>
    <row r="460" spans="1:14" x14ac:dyDescent="0.3">
      <c r="A460" t="s">
        <v>472</v>
      </c>
      <c r="B460" s="3">
        <v>45412</v>
      </c>
      <c r="C460" t="s">
        <v>519</v>
      </c>
      <c r="D460" t="s">
        <v>525</v>
      </c>
      <c r="E460" t="s">
        <v>538</v>
      </c>
      <c r="F460">
        <v>21</v>
      </c>
      <c r="G460">
        <v>26</v>
      </c>
      <c r="H460">
        <v>95</v>
      </c>
      <c r="I460">
        <v>2470</v>
      </c>
      <c r="J460">
        <v>0.22</v>
      </c>
      <c r="K460">
        <v>543.4</v>
      </c>
      <c r="L460">
        <v>3013.4</v>
      </c>
      <c r="M460" t="s">
        <v>541</v>
      </c>
      <c r="N460" t="s">
        <v>551</v>
      </c>
    </row>
    <row r="461" spans="1:14" x14ac:dyDescent="0.3">
      <c r="A461" t="s">
        <v>473</v>
      </c>
      <c r="B461" s="3">
        <v>45730</v>
      </c>
      <c r="C461" t="s">
        <v>521</v>
      </c>
      <c r="D461" t="s">
        <v>526</v>
      </c>
      <c r="E461" t="s">
        <v>534</v>
      </c>
      <c r="F461">
        <v>1</v>
      </c>
      <c r="G461">
        <v>1</v>
      </c>
      <c r="H461">
        <v>67</v>
      </c>
      <c r="I461">
        <v>67</v>
      </c>
      <c r="J461">
        <v>0</v>
      </c>
      <c r="K461">
        <v>0</v>
      </c>
      <c r="L461">
        <v>67</v>
      </c>
      <c r="M461" t="s">
        <v>542</v>
      </c>
      <c r="N461" t="s">
        <v>549</v>
      </c>
    </row>
    <row r="462" spans="1:14" x14ac:dyDescent="0.3">
      <c r="A462" t="s">
        <v>474</v>
      </c>
      <c r="B462" s="3">
        <v>45352</v>
      </c>
      <c r="C462" t="s">
        <v>518</v>
      </c>
      <c r="D462" t="s">
        <v>528</v>
      </c>
      <c r="E462" t="s">
        <v>537</v>
      </c>
      <c r="F462">
        <v>44</v>
      </c>
      <c r="G462">
        <v>52</v>
      </c>
      <c r="H462">
        <v>266</v>
      </c>
      <c r="I462">
        <v>13832</v>
      </c>
      <c r="J462">
        <v>0.22</v>
      </c>
      <c r="K462">
        <v>3043.04</v>
      </c>
      <c r="L462">
        <v>16875.04</v>
      </c>
      <c r="M462" t="s">
        <v>542</v>
      </c>
      <c r="N462" t="s">
        <v>551</v>
      </c>
    </row>
    <row r="463" spans="1:14" x14ac:dyDescent="0.3">
      <c r="A463" t="s">
        <v>475</v>
      </c>
      <c r="B463" s="3">
        <v>45591</v>
      </c>
      <c r="C463" t="s">
        <v>522</v>
      </c>
      <c r="D463" t="s">
        <v>526</v>
      </c>
      <c r="E463" t="s">
        <v>537</v>
      </c>
      <c r="F463">
        <v>50</v>
      </c>
      <c r="G463">
        <v>47</v>
      </c>
      <c r="H463">
        <v>186</v>
      </c>
      <c r="I463">
        <v>8742</v>
      </c>
      <c r="J463">
        <v>0</v>
      </c>
      <c r="K463">
        <v>0</v>
      </c>
      <c r="L463">
        <v>8742</v>
      </c>
      <c r="M463" t="s">
        <v>541</v>
      </c>
      <c r="N463" t="s">
        <v>544</v>
      </c>
    </row>
    <row r="464" spans="1:14" x14ac:dyDescent="0.3">
      <c r="A464" t="s">
        <v>476</v>
      </c>
      <c r="B464" s="3">
        <v>45430</v>
      </c>
      <c r="C464" t="s">
        <v>515</v>
      </c>
      <c r="D464" t="s">
        <v>524</v>
      </c>
      <c r="E464" t="s">
        <v>537</v>
      </c>
      <c r="F464">
        <v>62</v>
      </c>
      <c r="G464">
        <v>56</v>
      </c>
      <c r="H464">
        <v>273</v>
      </c>
      <c r="I464">
        <v>15288</v>
      </c>
      <c r="J464">
        <v>0.1</v>
      </c>
      <c r="K464">
        <v>1528.8</v>
      </c>
      <c r="L464">
        <v>16816.8</v>
      </c>
      <c r="M464" t="s">
        <v>542</v>
      </c>
      <c r="N464" t="s">
        <v>547</v>
      </c>
    </row>
    <row r="465" spans="1:14" x14ac:dyDescent="0.3">
      <c r="A465" t="s">
        <v>477</v>
      </c>
      <c r="B465" s="3">
        <v>45547</v>
      </c>
      <c r="C465" t="s">
        <v>521</v>
      </c>
      <c r="D465" t="s">
        <v>531</v>
      </c>
      <c r="E465" t="s">
        <v>538</v>
      </c>
      <c r="F465">
        <v>14</v>
      </c>
      <c r="G465">
        <v>14</v>
      </c>
      <c r="H465">
        <v>277</v>
      </c>
      <c r="I465">
        <v>3878</v>
      </c>
      <c r="J465">
        <v>0.22</v>
      </c>
      <c r="K465">
        <v>853.16</v>
      </c>
      <c r="L465">
        <v>4731.16</v>
      </c>
      <c r="M465" t="s">
        <v>541</v>
      </c>
      <c r="N465" t="s">
        <v>546</v>
      </c>
    </row>
    <row r="466" spans="1:14" x14ac:dyDescent="0.3">
      <c r="A466" t="s">
        <v>478</v>
      </c>
      <c r="B466" s="3">
        <v>45793</v>
      </c>
      <c r="C466" t="s">
        <v>521</v>
      </c>
      <c r="D466" t="s">
        <v>526</v>
      </c>
      <c r="E466" t="s">
        <v>536</v>
      </c>
      <c r="F466">
        <v>33</v>
      </c>
      <c r="G466">
        <v>28</v>
      </c>
      <c r="H466">
        <v>274</v>
      </c>
      <c r="I466">
        <v>7672</v>
      </c>
      <c r="J466">
        <v>0</v>
      </c>
      <c r="K466">
        <v>0</v>
      </c>
      <c r="L466">
        <v>7672</v>
      </c>
      <c r="M466" t="s">
        <v>543</v>
      </c>
      <c r="N466" t="s">
        <v>546</v>
      </c>
    </row>
    <row r="467" spans="1:14" x14ac:dyDescent="0.3">
      <c r="A467" t="s">
        <v>479</v>
      </c>
      <c r="B467" s="3">
        <v>45676</v>
      </c>
      <c r="C467" t="s">
        <v>517</v>
      </c>
      <c r="D467" t="s">
        <v>527</v>
      </c>
      <c r="E467" t="s">
        <v>536</v>
      </c>
      <c r="F467">
        <v>74</v>
      </c>
      <c r="G467">
        <v>78</v>
      </c>
      <c r="H467">
        <v>275</v>
      </c>
      <c r="I467">
        <v>21450</v>
      </c>
      <c r="J467">
        <v>0.22</v>
      </c>
      <c r="K467">
        <v>4719</v>
      </c>
      <c r="L467">
        <v>26169</v>
      </c>
      <c r="M467" t="s">
        <v>542</v>
      </c>
      <c r="N467" t="s">
        <v>546</v>
      </c>
    </row>
    <row r="468" spans="1:14" x14ac:dyDescent="0.3">
      <c r="A468" t="s">
        <v>480</v>
      </c>
      <c r="B468" s="3">
        <v>45819</v>
      </c>
      <c r="C468" t="s">
        <v>522</v>
      </c>
      <c r="D468" t="s">
        <v>531</v>
      </c>
      <c r="E468" t="s">
        <v>540</v>
      </c>
      <c r="F468">
        <v>2</v>
      </c>
      <c r="G468">
        <v>2</v>
      </c>
      <c r="H468">
        <v>168</v>
      </c>
      <c r="I468">
        <v>336</v>
      </c>
      <c r="J468">
        <v>0.1</v>
      </c>
      <c r="K468">
        <v>33.6</v>
      </c>
      <c r="L468">
        <v>369.6</v>
      </c>
      <c r="M468" t="s">
        <v>543</v>
      </c>
      <c r="N468" t="s">
        <v>553</v>
      </c>
    </row>
    <row r="469" spans="1:14" x14ac:dyDescent="0.3">
      <c r="A469" t="s">
        <v>481</v>
      </c>
      <c r="B469" s="3">
        <v>45294</v>
      </c>
      <c r="C469" t="s">
        <v>520</v>
      </c>
      <c r="D469" t="s">
        <v>533</v>
      </c>
      <c r="E469" t="s">
        <v>536</v>
      </c>
      <c r="F469">
        <v>30</v>
      </c>
      <c r="G469">
        <v>26</v>
      </c>
      <c r="H469">
        <v>73</v>
      </c>
      <c r="I469">
        <v>1898</v>
      </c>
      <c r="J469">
        <v>0.22</v>
      </c>
      <c r="K469">
        <v>417.56</v>
      </c>
      <c r="L469">
        <v>2315.56</v>
      </c>
      <c r="M469" t="s">
        <v>543</v>
      </c>
      <c r="N469" t="s">
        <v>544</v>
      </c>
    </row>
    <row r="470" spans="1:14" x14ac:dyDescent="0.3">
      <c r="A470" t="s">
        <v>482</v>
      </c>
      <c r="B470" s="3">
        <v>45699</v>
      </c>
      <c r="C470" t="s">
        <v>519</v>
      </c>
      <c r="D470" t="s">
        <v>530</v>
      </c>
      <c r="E470" t="s">
        <v>538</v>
      </c>
      <c r="F470">
        <v>52</v>
      </c>
      <c r="G470">
        <v>59</v>
      </c>
      <c r="H470">
        <v>115</v>
      </c>
      <c r="I470">
        <v>6785</v>
      </c>
      <c r="J470">
        <v>0.22</v>
      </c>
      <c r="K470">
        <v>1492.7</v>
      </c>
      <c r="L470">
        <v>8277.7000000000007</v>
      </c>
      <c r="M470" t="s">
        <v>543</v>
      </c>
      <c r="N470" t="s">
        <v>551</v>
      </c>
    </row>
    <row r="471" spans="1:14" x14ac:dyDescent="0.3">
      <c r="A471" t="s">
        <v>483</v>
      </c>
      <c r="B471" s="3">
        <v>45582</v>
      </c>
      <c r="C471" t="s">
        <v>518</v>
      </c>
      <c r="D471" t="s">
        <v>528</v>
      </c>
      <c r="E471" t="s">
        <v>539</v>
      </c>
      <c r="F471">
        <v>8</v>
      </c>
      <c r="G471">
        <v>7</v>
      </c>
      <c r="H471">
        <v>62</v>
      </c>
      <c r="I471">
        <v>434</v>
      </c>
      <c r="J471">
        <v>0.22</v>
      </c>
      <c r="K471">
        <v>95.48</v>
      </c>
      <c r="L471">
        <v>529.48</v>
      </c>
      <c r="M471" t="s">
        <v>543</v>
      </c>
      <c r="N471" t="s">
        <v>551</v>
      </c>
    </row>
    <row r="472" spans="1:14" x14ac:dyDescent="0.3">
      <c r="A472" t="s">
        <v>484</v>
      </c>
      <c r="B472" s="3">
        <v>45341</v>
      </c>
      <c r="C472" t="s">
        <v>514</v>
      </c>
      <c r="D472" t="s">
        <v>527</v>
      </c>
      <c r="E472" t="s">
        <v>536</v>
      </c>
      <c r="F472">
        <v>19</v>
      </c>
      <c r="G472">
        <v>23</v>
      </c>
      <c r="H472">
        <v>297</v>
      </c>
      <c r="I472">
        <v>6831</v>
      </c>
      <c r="J472">
        <v>0.22</v>
      </c>
      <c r="K472">
        <v>1502.82</v>
      </c>
      <c r="L472">
        <v>8333.82</v>
      </c>
      <c r="M472" t="s">
        <v>543</v>
      </c>
      <c r="N472" t="s">
        <v>550</v>
      </c>
    </row>
    <row r="473" spans="1:14" x14ac:dyDescent="0.3">
      <c r="A473" t="s">
        <v>485</v>
      </c>
      <c r="B473" s="3">
        <v>45419</v>
      </c>
      <c r="C473" t="s">
        <v>521</v>
      </c>
      <c r="D473" t="s">
        <v>533</v>
      </c>
      <c r="E473" t="s">
        <v>540</v>
      </c>
      <c r="F473">
        <v>21</v>
      </c>
      <c r="G473">
        <v>18</v>
      </c>
      <c r="H473">
        <v>97</v>
      </c>
      <c r="I473">
        <v>1746</v>
      </c>
      <c r="J473">
        <v>0.22</v>
      </c>
      <c r="K473">
        <v>384.12</v>
      </c>
      <c r="L473">
        <v>2130.12</v>
      </c>
      <c r="M473" t="s">
        <v>543</v>
      </c>
      <c r="N473" t="s">
        <v>549</v>
      </c>
    </row>
    <row r="474" spans="1:14" x14ac:dyDescent="0.3">
      <c r="A474" t="s">
        <v>486</v>
      </c>
      <c r="B474" s="3">
        <v>45427</v>
      </c>
      <c r="C474" t="s">
        <v>522</v>
      </c>
      <c r="D474" t="s">
        <v>532</v>
      </c>
      <c r="E474" t="s">
        <v>538</v>
      </c>
      <c r="F474">
        <v>12</v>
      </c>
      <c r="G474">
        <v>15</v>
      </c>
      <c r="H474">
        <v>251</v>
      </c>
      <c r="I474">
        <v>3765</v>
      </c>
      <c r="J474">
        <v>0.1</v>
      </c>
      <c r="K474">
        <v>376.5</v>
      </c>
      <c r="L474">
        <v>4141.5</v>
      </c>
      <c r="M474" t="s">
        <v>543</v>
      </c>
      <c r="N474" t="s">
        <v>544</v>
      </c>
    </row>
    <row r="475" spans="1:14" x14ac:dyDescent="0.3">
      <c r="A475" t="s">
        <v>487</v>
      </c>
      <c r="B475" s="3">
        <v>45661</v>
      </c>
      <c r="C475" t="s">
        <v>522</v>
      </c>
      <c r="D475" t="s">
        <v>527</v>
      </c>
      <c r="E475" t="s">
        <v>537</v>
      </c>
      <c r="F475">
        <v>32</v>
      </c>
      <c r="G475">
        <v>28</v>
      </c>
      <c r="H475">
        <v>261</v>
      </c>
      <c r="I475">
        <v>7308</v>
      </c>
      <c r="J475">
        <v>0.22</v>
      </c>
      <c r="K475">
        <v>1607.76</v>
      </c>
      <c r="L475">
        <v>8915.76</v>
      </c>
      <c r="M475" t="s">
        <v>541</v>
      </c>
      <c r="N475" t="s">
        <v>547</v>
      </c>
    </row>
    <row r="476" spans="1:14" x14ac:dyDescent="0.3">
      <c r="A476" t="s">
        <v>488</v>
      </c>
      <c r="B476" s="3">
        <v>45345</v>
      </c>
      <c r="C476" t="s">
        <v>515</v>
      </c>
      <c r="D476" t="s">
        <v>529</v>
      </c>
      <c r="E476" t="s">
        <v>537</v>
      </c>
      <c r="F476">
        <v>39</v>
      </c>
      <c r="G476">
        <v>39</v>
      </c>
      <c r="H476">
        <v>244</v>
      </c>
      <c r="I476">
        <v>9516</v>
      </c>
      <c r="J476">
        <v>0</v>
      </c>
      <c r="K476">
        <v>0</v>
      </c>
      <c r="L476">
        <v>9516</v>
      </c>
      <c r="M476" t="s">
        <v>541</v>
      </c>
      <c r="N476" t="s">
        <v>549</v>
      </c>
    </row>
    <row r="477" spans="1:14" x14ac:dyDescent="0.3">
      <c r="A477" t="s">
        <v>489</v>
      </c>
      <c r="B477" s="3">
        <v>45731</v>
      </c>
      <c r="C477" t="s">
        <v>520</v>
      </c>
      <c r="D477" t="s">
        <v>527</v>
      </c>
      <c r="E477" t="s">
        <v>535</v>
      </c>
      <c r="F477">
        <v>20</v>
      </c>
      <c r="G477">
        <v>17</v>
      </c>
      <c r="H477">
        <v>290</v>
      </c>
      <c r="I477">
        <v>4930</v>
      </c>
      <c r="J477">
        <v>0.22</v>
      </c>
      <c r="K477">
        <v>1084.5999999999999</v>
      </c>
      <c r="L477">
        <v>6014.6</v>
      </c>
      <c r="M477" t="s">
        <v>542</v>
      </c>
      <c r="N477" t="s">
        <v>547</v>
      </c>
    </row>
    <row r="478" spans="1:14" x14ac:dyDescent="0.3">
      <c r="A478" t="s">
        <v>490</v>
      </c>
      <c r="B478" s="3">
        <v>45523</v>
      </c>
      <c r="C478" t="s">
        <v>516</v>
      </c>
      <c r="D478" t="s">
        <v>529</v>
      </c>
      <c r="E478" t="s">
        <v>540</v>
      </c>
      <c r="F478">
        <v>36</v>
      </c>
      <c r="G478">
        <v>44</v>
      </c>
      <c r="H478">
        <v>84</v>
      </c>
      <c r="I478">
        <v>3696</v>
      </c>
      <c r="J478">
        <v>0</v>
      </c>
      <c r="K478">
        <v>0</v>
      </c>
      <c r="L478">
        <v>3696</v>
      </c>
      <c r="M478" t="s">
        <v>542</v>
      </c>
      <c r="N478" t="s">
        <v>550</v>
      </c>
    </row>
    <row r="479" spans="1:14" x14ac:dyDescent="0.3">
      <c r="A479" t="s">
        <v>491</v>
      </c>
      <c r="B479" s="3">
        <v>45643</v>
      </c>
      <c r="C479" t="s">
        <v>520</v>
      </c>
      <c r="D479" t="s">
        <v>530</v>
      </c>
      <c r="E479" t="s">
        <v>536</v>
      </c>
      <c r="F479">
        <v>17</v>
      </c>
      <c r="G479">
        <v>17</v>
      </c>
      <c r="H479">
        <v>72</v>
      </c>
      <c r="I479">
        <v>1224</v>
      </c>
      <c r="J479">
        <v>0.22</v>
      </c>
      <c r="K479">
        <v>269.27999999999997</v>
      </c>
      <c r="L479">
        <v>1493.28</v>
      </c>
      <c r="M479" t="s">
        <v>542</v>
      </c>
      <c r="N479" t="s">
        <v>549</v>
      </c>
    </row>
    <row r="480" spans="1:14" x14ac:dyDescent="0.3">
      <c r="A480" t="s">
        <v>492</v>
      </c>
      <c r="B480" s="3">
        <v>45684</v>
      </c>
      <c r="C480" t="s">
        <v>520</v>
      </c>
      <c r="D480" t="s">
        <v>527</v>
      </c>
      <c r="E480" t="s">
        <v>535</v>
      </c>
      <c r="F480">
        <v>30</v>
      </c>
      <c r="G480">
        <v>25</v>
      </c>
      <c r="H480">
        <v>127</v>
      </c>
      <c r="I480">
        <v>3175</v>
      </c>
      <c r="J480">
        <v>0.22</v>
      </c>
      <c r="K480">
        <v>698.5</v>
      </c>
      <c r="L480">
        <v>3873.5</v>
      </c>
      <c r="M480" t="s">
        <v>543</v>
      </c>
      <c r="N480" t="s">
        <v>547</v>
      </c>
    </row>
    <row r="481" spans="1:14" x14ac:dyDescent="0.3">
      <c r="A481" t="s">
        <v>493</v>
      </c>
      <c r="B481" s="3">
        <v>45683</v>
      </c>
      <c r="C481" t="s">
        <v>521</v>
      </c>
      <c r="D481" t="s">
        <v>529</v>
      </c>
      <c r="E481" t="s">
        <v>536</v>
      </c>
      <c r="F481">
        <v>10</v>
      </c>
      <c r="G481">
        <v>10</v>
      </c>
      <c r="H481">
        <v>126</v>
      </c>
      <c r="I481">
        <v>1260</v>
      </c>
      <c r="J481">
        <v>0</v>
      </c>
      <c r="K481">
        <v>0</v>
      </c>
      <c r="L481">
        <v>1260</v>
      </c>
      <c r="M481" t="s">
        <v>542</v>
      </c>
      <c r="N481" t="s">
        <v>544</v>
      </c>
    </row>
    <row r="482" spans="1:14" x14ac:dyDescent="0.3">
      <c r="A482" t="s">
        <v>494</v>
      </c>
      <c r="B482" s="3">
        <v>45835</v>
      </c>
      <c r="C482" t="s">
        <v>514</v>
      </c>
      <c r="D482" t="s">
        <v>526</v>
      </c>
      <c r="E482" t="s">
        <v>536</v>
      </c>
      <c r="F482">
        <v>19</v>
      </c>
      <c r="G482">
        <v>18</v>
      </c>
      <c r="H482">
        <v>170</v>
      </c>
      <c r="I482">
        <v>3060</v>
      </c>
      <c r="J482">
        <v>0</v>
      </c>
      <c r="K482">
        <v>0</v>
      </c>
      <c r="L482">
        <v>3060</v>
      </c>
      <c r="M482" t="s">
        <v>542</v>
      </c>
      <c r="N482" t="s">
        <v>552</v>
      </c>
    </row>
    <row r="483" spans="1:14" x14ac:dyDescent="0.3">
      <c r="A483" t="s">
        <v>495</v>
      </c>
      <c r="B483" s="3">
        <v>45651</v>
      </c>
      <c r="C483" t="s">
        <v>519</v>
      </c>
      <c r="D483" t="s">
        <v>529</v>
      </c>
      <c r="E483" t="s">
        <v>536</v>
      </c>
      <c r="F483">
        <v>37</v>
      </c>
      <c r="G483">
        <v>34</v>
      </c>
      <c r="H483">
        <v>170</v>
      </c>
      <c r="I483">
        <v>5780</v>
      </c>
      <c r="J483">
        <v>0</v>
      </c>
      <c r="K483">
        <v>0</v>
      </c>
      <c r="L483">
        <v>5780</v>
      </c>
      <c r="M483" t="s">
        <v>542</v>
      </c>
      <c r="N483" t="s">
        <v>546</v>
      </c>
    </row>
    <row r="484" spans="1:14" x14ac:dyDescent="0.3">
      <c r="A484" t="s">
        <v>496</v>
      </c>
      <c r="B484" s="3">
        <v>45745</v>
      </c>
      <c r="C484" t="s">
        <v>519</v>
      </c>
      <c r="D484" t="s">
        <v>527</v>
      </c>
      <c r="E484" t="s">
        <v>535</v>
      </c>
      <c r="F484">
        <v>8</v>
      </c>
      <c r="G484">
        <v>8</v>
      </c>
      <c r="H484">
        <v>227</v>
      </c>
      <c r="I484">
        <v>1816</v>
      </c>
      <c r="J484">
        <v>0.22</v>
      </c>
      <c r="K484">
        <v>399.52</v>
      </c>
      <c r="L484">
        <v>2215.52</v>
      </c>
      <c r="M484" t="s">
        <v>542</v>
      </c>
      <c r="N484" t="s">
        <v>553</v>
      </c>
    </row>
    <row r="485" spans="1:14" x14ac:dyDescent="0.3">
      <c r="A485" t="s">
        <v>497</v>
      </c>
      <c r="B485" s="3">
        <v>45685</v>
      </c>
      <c r="C485" t="s">
        <v>518</v>
      </c>
      <c r="D485" t="s">
        <v>530</v>
      </c>
      <c r="E485" t="s">
        <v>537</v>
      </c>
      <c r="F485">
        <v>44</v>
      </c>
      <c r="G485">
        <v>42</v>
      </c>
      <c r="H485">
        <v>228</v>
      </c>
      <c r="I485">
        <v>9576</v>
      </c>
      <c r="J485">
        <v>0.22</v>
      </c>
      <c r="K485">
        <v>2106.7199999999998</v>
      </c>
      <c r="L485">
        <v>11682.72</v>
      </c>
      <c r="M485" t="s">
        <v>542</v>
      </c>
      <c r="N485" t="s">
        <v>548</v>
      </c>
    </row>
    <row r="486" spans="1:14" x14ac:dyDescent="0.3">
      <c r="A486" t="s">
        <v>498</v>
      </c>
      <c r="B486" s="3">
        <v>45378</v>
      </c>
      <c r="C486" t="s">
        <v>519</v>
      </c>
      <c r="D486" t="s">
        <v>528</v>
      </c>
      <c r="E486" t="s">
        <v>539</v>
      </c>
      <c r="F486">
        <v>6</v>
      </c>
      <c r="G486">
        <v>6</v>
      </c>
      <c r="H486">
        <v>239</v>
      </c>
      <c r="I486">
        <v>1434</v>
      </c>
      <c r="J486">
        <v>0.22</v>
      </c>
      <c r="K486">
        <v>315.48</v>
      </c>
      <c r="L486">
        <v>1749.48</v>
      </c>
      <c r="M486" t="s">
        <v>541</v>
      </c>
      <c r="N486" t="s">
        <v>548</v>
      </c>
    </row>
    <row r="487" spans="1:14" x14ac:dyDescent="0.3">
      <c r="A487" t="s">
        <v>499</v>
      </c>
      <c r="B487" s="3">
        <v>45319</v>
      </c>
      <c r="C487" t="s">
        <v>522</v>
      </c>
      <c r="D487" t="s">
        <v>525</v>
      </c>
      <c r="E487" t="s">
        <v>539</v>
      </c>
      <c r="F487">
        <v>30</v>
      </c>
      <c r="G487">
        <v>26</v>
      </c>
      <c r="H487">
        <v>123</v>
      </c>
      <c r="I487">
        <v>3198</v>
      </c>
      <c r="J487">
        <v>0.22</v>
      </c>
      <c r="K487">
        <v>703.56</v>
      </c>
      <c r="L487">
        <v>3901.56</v>
      </c>
      <c r="M487" t="s">
        <v>542</v>
      </c>
      <c r="N487" t="s">
        <v>546</v>
      </c>
    </row>
    <row r="488" spans="1:14" x14ac:dyDescent="0.3">
      <c r="A488" t="s">
        <v>500</v>
      </c>
      <c r="B488" s="3">
        <v>45594</v>
      </c>
      <c r="C488" t="s">
        <v>514</v>
      </c>
      <c r="D488" t="s">
        <v>525</v>
      </c>
      <c r="E488" t="s">
        <v>540</v>
      </c>
      <c r="F488">
        <v>48</v>
      </c>
      <c r="G488">
        <v>59</v>
      </c>
      <c r="H488">
        <v>243</v>
      </c>
      <c r="I488">
        <v>14337</v>
      </c>
      <c r="J488">
        <v>0.22</v>
      </c>
      <c r="K488">
        <v>3154.14</v>
      </c>
      <c r="L488">
        <v>17491.14</v>
      </c>
      <c r="M488" t="s">
        <v>542</v>
      </c>
      <c r="N488" t="s">
        <v>552</v>
      </c>
    </row>
    <row r="489" spans="1:14" x14ac:dyDescent="0.3">
      <c r="A489" t="s">
        <v>501</v>
      </c>
      <c r="B489" s="3">
        <v>45364</v>
      </c>
      <c r="C489" t="s">
        <v>516</v>
      </c>
      <c r="D489" t="s">
        <v>524</v>
      </c>
      <c r="E489" t="s">
        <v>537</v>
      </c>
      <c r="F489">
        <v>54</v>
      </c>
      <c r="G489">
        <v>59</v>
      </c>
      <c r="H489">
        <v>168</v>
      </c>
      <c r="I489">
        <v>9912</v>
      </c>
      <c r="J489">
        <v>0.1</v>
      </c>
      <c r="K489">
        <v>991.2</v>
      </c>
      <c r="L489">
        <v>10903.2</v>
      </c>
      <c r="M489" t="s">
        <v>542</v>
      </c>
      <c r="N489" t="s">
        <v>546</v>
      </c>
    </row>
    <row r="490" spans="1:14" x14ac:dyDescent="0.3">
      <c r="A490" t="s">
        <v>502</v>
      </c>
      <c r="B490" s="3">
        <v>45722</v>
      </c>
      <c r="C490" t="s">
        <v>518</v>
      </c>
      <c r="D490" t="s">
        <v>528</v>
      </c>
      <c r="E490" t="s">
        <v>536</v>
      </c>
      <c r="F490">
        <v>83</v>
      </c>
      <c r="G490">
        <v>70</v>
      </c>
      <c r="H490">
        <v>288</v>
      </c>
      <c r="I490">
        <v>20160</v>
      </c>
      <c r="J490">
        <v>0.22</v>
      </c>
      <c r="K490">
        <v>4435.2</v>
      </c>
      <c r="L490">
        <v>24595.200000000001</v>
      </c>
      <c r="M490" t="s">
        <v>543</v>
      </c>
      <c r="N490" t="s">
        <v>544</v>
      </c>
    </row>
    <row r="491" spans="1:14" x14ac:dyDescent="0.3">
      <c r="A491" t="s">
        <v>503</v>
      </c>
      <c r="B491" s="3">
        <v>45309</v>
      </c>
      <c r="C491" t="s">
        <v>520</v>
      </c>
      <c r="D491" t="s">
        <v>524</v>
      </c>
      <c r="E491" t="s">
        <v>537</v>
      </c>
      <c r="F491">
        <v>38</v>
      </c>
      <c r="G491">
        <v>33</v>
      </c>
      <c r="H491">
        <v>240</v>
      </c>
      <c r="I491">
        <v>7920</v>
      </c>
      <c r="J491">
        <v>0.22</v>
      </c>
      <c r="K491">
        <v>1742.4</v>
      </c>
      <c r="L491">
        <v>9662.4</v>
      </c>
      <c r="M491" t="s">
        <v>542</v>
      </c>
      <c r="N491" t="s">
        <v>546</v>
      </c>
    </row>
    <row r="492" spans="1:14" x14ac:dyDescent="0.3">
      <c r="A492" t="s">
        <v>504</v>
      </c>
      <c r="B492" s="3">
        <v>45810</v>
      </c>
      <c r="C492" t="s">
        <v>522</v>
      </c>
      <c r="D492" t="s">
        <v>529</v>
      </c>
      <c r="E492" t="s">
        <v>536</v>
      </c>
      <c r="F492">
        <v>22</v>
      </c>
      <c r="G492">
        <v>22</v>
      </c>
      <c r="H492">
        <v>80</v>
      </c>
      <c r="I492">
        <v>1760</v>
      </c>
      <c r="J492">
        <v>0</v>
      </c>
      <c r="K492">
        <v>0</v>
      </c>
      <c r="L492">
        <v>1760</v>
      </c>
      <c r="M492" t="s">
        <v>541</v>
      </c>
      <c r="N492" t="s">
        <v>546</v>
      </c>
    </row>
    <row r="493" spans="1:14" x14ac:dyDescent="0.3">
      <c r="A493" t="s">
        <v>505</v>
      </c>
      <c r="B493" s="3">
        <v>45725</v>
      </c>
      <c r="C493" t="s">
        <v>515</v>
      </c>
      <c r="D493" t="s">
        <v>527</v>
      </c>
      <c r="E493" t="s">
        <v>536</v>
      </c>
      <c r="F493">
        <v>73</v>
      </c>
      <c r="G493">
        <v>70</v>
      </c>
      <c r="H493">
        <v>129</v>
      </c>
      <c r="I493">
        <v>9030</v>
      </c>
      <c r="J493">
        <v>0.22</v>
      </c>
      <c r="K493">
        <v>1986.6</v>
      </c>
      <c r="L493">
        <v>11016.6</v>
      </c>
      <c r="M493" t="s">
        <v>541</v>
      </c>
      <c r="N493" t="s">
        <v>547</v>
      </c>
    </row>
    <row r="494" spans="1:14" x14ac:dyDescent="0.3">
      <c r="A494" t="s">
        <v>506</v>
      </c>
      <c r="B494" s="3">
        <v>45576</v>
      </c>
      <c r="C494" t="s">
        <v>520</v>
      </c>
      <c r="D494" t="s">
        <v>523</v>
      </c>
      <c r="E494" t="s">
        <v>535</v>
      </c>
      <c r="F494">
        <v>4</v>
      </c>
      <c r="G494">
        <v>4</v>
      </c>
      <c r="H494">
        <v>153</v>
      </c>
      <c r="I494">
        <v>612</v>
      </c>
      <c r="J494">
        <v>0.22</v>
      </c>
      <c r="K494">
        <v>134.63999999999999</v>
      </c>
      <c r="L494">
        <v>746.64</v>
      </c>
      <c r="M494" t="s">
        <v>542</v>
      </c>
      <c r="N494" t="s">
        <v>547</v>
      </c>
    </row>
    <row r="495" spans="1:14" x14ac:dyDescent="0.3">
      <c r="A495" t="s">
        <v>507</v>
      </c>
      <c r="B495" s="3">
        <v>45626</v>
      </c>
      <c r="C495" t="s">
        <v>515</v>
      </c>
      <c r="D495" t="s">
        <v>526</v>
      </c>
      <c r="E495" t="s">
        <v>536</v>
      </c>
      <c r="F495">
        <v>66</v>
      </c>
      <c r="G495">
        <v>75</v>
      </c>
      <c r="H495">
        <v>249</v>
      </c>
      <c r="I495">
        <v>18675</v>
      </c>
      <c r="J495">
        <v>0</v>
      </c>
      <c r="K495">
        <v>0</v>
      </c>
      <c r="L495">
        <v>18675</v>
      </c>
      <c r="M495" t="s">
        <v>541</v>
      </c>
      <c r="N495" t="s">
        <v>544</v>
      </c>
    </row>
    <row r="496" spans="1:14" x14ac:dyDescent="0.3">
      <c r="A496" t="s">
        <v>508</v>
      </c>
      <c r="B496" s="3">
        <v>45609</v>
      </c>
      <c r="C496" t="s">
        <v>515</v>
      </c>
      <c r="D496" t="s">
        <v>525</v>
      </c>
      <c r="E496" t="s">
        <v>535</v>
      </c>
      <c r="F496">
        <v>61</v>
      </c>
      <c r="G496">
        <v>62</v>
      </c>
      <c r="H496">
        <v>153</v>
      </c>
      <c r="I496">
        <v>9486</v>
      </c>
      <c r="J496">
        <v>0.22</v>
      </c>
      <c r="K496">
        <v>2086.92</v>
      </c>
      <c r="L496">
        <v>11572.92</v>
      </c>
      <c r="M496" t="s">
        <v>543</v>
      </c>
      <c r="N496" t="s">
        <v>544</v>
      </c>
    </row>
    <row r="497" spans="1:14" x14ac:dyDescent="0.3">
      <c r="A497" t="s">
        <v>509</v>
      </c>
      <c r="B497" s="3">
        <v>45756</v>
      </c>
      <c r="C497" t="s">
        <v>514</v>
      </c>
      <c r="D497" t="s">
        <v>523</v>
      </c>
      <c r="E497" t="s">
        <v>536</v>
      </c>
      <c r="F497">
        <v>23</v>
      </c>
      <c r="G497">
        <v>24</v>
      </c>
      <c r="H497">
        <v>114</v>
      </c>
      <c r="I497">
        <v>2736</v>
      </c>
      <c r="J497">
        <v>0.22</v>
      </c>
      <c r="K497">
        <v>601.91999999999996</v>
      </c>
      <c r="L497">
        <v>3337.92</v>
      </c>
      <c r="M497" t="s">
        <v>541</v>
      </c>
      <c r="N497" t="s">
        <v>547</v>
      </c>
    </row>
    <row r="498" spans="1:14" x14ac:dyDescent="0.3">
      <c r="A498" t="s">
        <v>510</v>
      </c>
      <c r="B498" s="3">
        <v>45414</v>
      </c>
      <c r="C498" t="s">
        <v>514</v>
      </c>
      <c r="D498" t="s">
        <v>532</v>
      </c>
      <c r="E498" t="s">
        <v>536</v>
      </c>
      <c r="F498">
        <v>9</v>
      </c>
      <c r="G498">
        <v>9</v>
      </c>
      <c r="H498">
        <v>190</v>
      </c>
      <c r="I498">
        <v>1710</v>
      </c>
      <c r="J498">
        <v>0.22</v>
      </c>
      <c r="K498">
        <v>376.2</v>
      </c>
      <c r="L498">
        <v>2086.1999999999998</v>
      </c>
      <c r="M498" t="s">
        <v>543</v>
      </c>
      <c r="N498" t="s">
        <v>551</v>
      </c>
    </row>
    <row r="499" spans="1:14" x14ac:dyDescent="0.3">
      <c r="A499" t="s">
        <v>511</v>
      </c>
      <c r="B499" s="3">
        <v>45827</v>
      </c>
      <c r="C499" t="s">
        <v>516</v>
      </c>
      <c r="D499" t="s">
        <v>523</v>
      </c>
      <c r="E499" t="s">
        <v>534</v>
      </c>
      <c r="F499">
        <v>26</v>
      </c>
      <c r="G499">
        <v>31</v>
      </c>
      <c r="H499">
        <v>99</v>
      </c>
      <c r="I499">
        <v>3069</v>
      </c>
      <c r="J499">
        <v>0.22</v>
      </c>
      <c r="K499">
        <v>675.18</v>
      </c>
      <c r="L499">
        <v>3744.18</v>
      </c>
      <c r="M499" t="s">
        <v>541</v>
      </c>
      <c r="N499" t="s">
        <v>548</v>
      </c>
    </row>
    <row r="500" spans="1:14" x14ac:dyDescent="0.3">
      <c r="A500" t="s">
        <v>512</v>
      </c>
      <c r="B500" s="3">
        <v>45412</v>
      </c>
      <c r="C500" t="s">
        <v>514</v>
      </c>
      <c r="D500" t="s">
        <v>531</v>
      </c>
      <c r="E500" t="s">
        <v>538</v>
      </c>
      <c r="F500">
        <v>43</v>
      </c>
      <c r="G500">
        <v>36</v>
      </c>
      <c r="H500">
        <v>211</v>
      </c>
      <c r="I500">
        <v>7596</v>
      </c>
      <c r="J500">
        <v>0.22</v>
      </c>
      <c r="K500">
        <v>1671.12</v>
      </c>
      <c r="L500">
        <v>9267.119999999999</v>
      </c>
      <c r="M500" t="s">
        <v>541</v>
      </c>
      <c r="N500" t="s">
        <v>544</v>
      </c>
    </row>
    <row r="501" spans="1:14" x14ac:dyDescent="0.3">
      <c r="A501" t="s">
        <v>513</v>
      </c>
      <c r="B501" s="3">
        <v>45561</v>
      </c>
      <c r="C501" t="s">
        <v>520</v>
      </c>
      <c r="D501" t="s">
        <v>533</v>
      </c>
      <c r="E501" t="s">
        <v>540</v>
      </c>
      <c r="F501">
        <v>7</v>
      </c>
      <c r="G501">
        <v>6</v>
      </c>
      <c r="H501">
        <v>125</v>
      </c>
      <c r="I501">
        <v>750</v>
      </c>
      <c r="J501">
        <v>0.22</v>
      </c>
      <c r="K501">
        <v>165</v>
      </c>
      <c r="L501">
        <v>915</v>
      </c>
      <c r="M501" t="s">
        <v>542</v>
      </c>
      <c r="N501" t="s">
        <v>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591F8-5BC9-4F74-8B3E-1D5AF0B683B0}">
  <dimension ref="A1:D9"/>
  <sheetViews>
    <sheetView zoomScale="77" workbookViewId="0">
      <selection activeCell="R14" sqref="R14"/>
    </sheetView>
  </sheetViews>
  <sheetFormatPr defaultRowHeight="14.4" x14ac:dyDescent="0.3"/>
  <cols>
    <col min="1" max="1" width="16.88671875" bestFit="1" customWidth="1"/>
    <col min="2" max="2" width="19.77734375" bestFit="1" customWidth="1"/>
    <col min="3" max="4" width="16.6640625" bestFit="1" customWidth="1"/>
  </cols>
  <sheetData>
    <row r="1" spans="1:4" x14ac:dyDescent="0.3">
      <c r="A1" s="4" t="s">
        <v>554</v>
      </c>
      <c r="B1" t="s">
        <v>561</v>
      </c>
      <c r="C1" t="s">
        <v>560</v>
      </c>
      <c r="D1" t="s">
        <v>559</v>
      </c>
    </row>
    <row r="2" spans="1:4" x14ac:dyDescent="0.3">
      <c r="A2" s="5" t="s">
        <v>537</v>
      </c>
      <c r="B2">
        <v>3245</v>
      </c>
      <c r="C2">
        <v>3352</v>
      </c>
      <c r="D2">
        <v>107</v>
      </c>
    </row>
    <row r="3" spans="1:4" x14ac:dyDescent="0.3">
      <c r="A3" s="5" t="s">
        <v>535</v>
      </c>
      <c r="B3">
        <v>2513</v>
      </c>
      <c r="C3">
        <v>2559</v>
      </c>
      <c r="D3">
        <v>46</v>
      </c>
    </row>
    <row r="4" spans="1:4" x14ac:dyDescent="0.3">
      <c r="A4" s="5" t="s">
        <v>536</v>
      </c>
      <c r="B4">
        <v>2538</v>
      </c>
      <c r="C4">
        <v>2583</v>
      </c>
      <c r="D4">
        <v>45</v>
      </c>
    </row>
    <row r="5" spans="1:4" x14ac:dyDescent="0.3">
      <c r="A5" s="5" t="s">
        <v>539</v>
      </c>
      <c r="B5">
        <v>2891</v>
      </c>
      <c r="C5">
        <v>2891</v>
      </c>
      <c r="D5">
        <v>0</v>
      </c>
    </row>
    <row r="6" spans="1:4" x14ac:dyDescent="0.3">
      <c r="A6" s="5" t="s">
        <v>540</v>
      </c>
      <c r="B6">
        <v>2776</v>
      </c>
      <c r="C6">
        <v>2758</v>
      </c>
      <c r="D6">
        <v>-18</v>
      </c>
    </row>
    <row r="7" spans="1:4" x14ac:dyDescent="0.3">
      <c r="A7" s="5" t="s">
        <v>534</v>
      </c>
      <c r="B7">
        <v>2657</v>
      </c>
      <c r="C7">
        <v>2628</v>
      </c>
      <c r="D7">
        <v>-29</v>
      </c>
    </row>
    <row r="8" spans="1:4" x14ac:dyDescent="0.3">
      <c r="A8" s="5" t="s">
        <v>538</v>
      </c>
      <c r="B8">
        <v>2715</v>
      </c>
      <c r="C8">
        <v>2673</v>
      </c>
      <c r="D8">
        <v>-42</v>
      </c>
    </row>
    <row r="9" spans="1:4" x14ac:dyDescent="0.3">
      <c r="A9" s="5" t="s">
        <v>555</v>
      </c>
      <c r="B9">
        <v>19335</v>
      </c>
      <c r="C9">
        <v>19444</v>
      </c>
      <c r="D9">
        <v>109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F8ED-E905-42C4-A37C-6AC023CB544A}">
  <dimension ref="A1:F46"/>
  <sheetViews>
    <sheetView zoomScale="77" workbookViewId="0">
      <selection activeCell="J37" sqref="J37"/>
    </sheetView>
  </sheetViews>
  <sheetFormatPr defaultRowHeight="14.4" x14ac:dyDescent="0.3"/>
  <cols>
    <col min="1" max="1" width="13.33203125" bestFit="1" customWidth="1"/>
    <col min="2" max="2" width="11.109375" bestFit="1" customWidth="1"/>
    <col min="3" max="3" width="16.21875" bestFit="1" customWidth="1"/>
    <col min="4" max="4" width="22.44140625" bestFit="1" customWidth="1"/>
    <col min="5" max="5" width="19.5546875" bestFit="1" customWidth="1"/>
    <col min="6" max="6" width="22.6640625" bestFit="1" customWidth="1"/>
  </cols>
  <sheetData>
    <row r="1" spans="1:3" x14ac:dyDescent="0.3">
      <c r="A1" s="4" t="s">
        <v>554</v>
      </c>
      <c r="B1" t="s">
        <v>562</v>
      </c>
      <c r="C1" t="s">
        <v>563</v>
      </c>
    </row>
    <row r="2" spans="1:3" x14ac:dyDescent="0.3">
      <c r="A2" s="5" t="s">
        <v>552</v>
      </c>
      <c r="B2">
        <v>501396.89999999985</v>
      </c>
      <c r="C2">
        <v>190.4</v>
      </c>
    </row>
    <row r="3" spans="1:3" x14ac:dyDescent="0.3">
      <c r="A3" s="5" t="s">
        <v>545</v>
      </c>
      <c r="B3">
        <v>490495.32000000007</v>
      </c>
      <c r="C3">
        <v>189.35185185185185</v>
      </c>
    </row>
    <row r="4" spans="1:3" x14ac:dyDescent="0.3">
      <c r="A4" s="5" t="s">
        <v>544</v>
      </c>
      <c r="B4">
        <v>447914.97999999992</v>
      </c>
      <c r="C4">
        <v>178.37037037037038</v>
      </c>
    </row>
    <row r="5" spans="1:3" x14ac:dyDescent="0.3">
      <c r="A5" s="5" t="s">
        <v>553</v>
      </c>
      <c r="B5">
        <v>441255.82</v>
      </c>
      <c r="C5">
        <v>182.65454545454546</v>
      </c>
    </row>
    <row r="6" spans="1:3" x14ac:dyDescent="0.3">
      <c r="A6" s="5" t="s">
        <v>546</v>
      </c>
      <c r="B6">
        <v>401397.6</v>
      </c>
      <c r="C6">
        <v>180.52941176470588</v>
      </c>
    </row>
    <row r="7" spans="1:3" x14ac:dyDescent="0.3">
      <c r="A7" s="5" t="s">
        <v>551</v>
      </c>
      <c r="B7">
        <v>387199.20000000007</v>
      </c>
      <c r="C7">
        <v>188.75</v>
      </c>
    </row>
    <row r="8" spans="1:3" x14ac:dyDescent="0.3">
      <c r="A8" s="5" t="s">
        <v>547</v>
      </c>
      <c r="B8">
        <v>382004.66</v>
      </c>
      <c r="C8">
        <v>170.12962962962962</v>
      </c>
    </row>
    <row r="9" spans="1:3" x14ac:dyDescent="0.3">
      <c r="A9" s="5" t="s">
        <v>549</v>
      </c>
      <c r="B9">
        <v>367785.3000000001</v>
      </c>
      <c r="C9">
        <v>176.09756097560975</v>
      </c>
    </row>
    <row r="10" spans="1:3" x14ac:dyDescent="0.3">
      <c r="A10" s="5" t="s">
        <v>550</v>
      </c>
      <c r="B10">
        <v>356508.37999999995</v>
      </c>
      <c r="C10">
        <v>178.4</v>
      </c>
    </row>
    <row r="11" spans="1:3" x14ac:dyDescent="0.3">
      <c r="A11" s="5" t="s">
        <v>548</v>
      </c>
      <c r="B11">
        <v>333771.15999999992</v>
      </c>
      <c r="C11">
        <v>176.19148936170214</v>
      </c>
    </row>
    <row r="12" spans="1:3" x14ac:dyDescent="0.3">
      <c r="A12" s="5" t="s">
        <v>555</v>
      </c>
      <c r="B12">
        <v>4109729.3199999994</v>
      </c>
      <c r="C12">
        <v>181.20599999999999</v>
      </c>
    </row>
    <row r="35" spans="1:6" x14ac:dyDescent="0.3">
      <c r="A35" s="4" t="s">
        <v>554</v>
      </c>
      <c r="B35" t="s">
        <v>562</v>
      </c>
      <c r="C35" t="s">
        <v>563</v>
      </c>
      <c r="D35" t="s">
        <v>558</v>
      </c>
      <c r="E35" t="s">
        <v>557</v>
      </c>
      <c r="F35" t="s">
        <v>556</v>
      </c>
    </row>
    <row r="36" spans="1:6" x14ac:dyDescent="0.3">
      <c r="A36" s="5" t="s">
        <v>552</v>
      </c>
      <c r="B36">
        <v>501396.89999999985</v>
      </c>
      <c r="C36">
        <v>190.4</v>
      </c>
      <c r="D36">
        <v>2</v>
      </c>
      <c r="E36">
        <v>2287</v>
      </c>
      <c r="F36">
        <v>2285</v>
      </c>
    </row>
    <row r="37" spans="1:6" x14ac:dyDescent="0.3">
      <c r="A37" s="5" t="s">
        <v>545</v>
      </c>
      <c r="B37">
        <v>490495.32000000007</v>
      </c>
      <c r="C37">
        <v>189.35185185185185</v>
      </c>
      <c r="D37">
        <v>-33</v>
      </c>
      <c r="E37">
        <v>2250</v>
      </c>
      <c r="F37">
        <v>2283</v>
      </c>
    </row>
    <row r="38" spans="1:6" x14ac:dyDescent="0.3">
      <c r="A38" s="5" t="s">
        <v>544</v>
      </c>
      <c r="B38">
        <v>447914.97999999992</v>
      </c>
      <c r="C38">
        <v>178.37037037037038</v>
      </c>
      <c r="D38">
        <v>42</v>
      </c>
      <c r="E38">
        <v>2108</v>
      </c>
      <c r="F38">
        <v>2066</v>
      </c>
    </row>
    <row r="39" spans="1:6" x14ac:dyDescent="0.3">
      <c r="A39" s="5" t="s">
        <v>553</v>
      </c>
      <c r="B39">
        <v>441255.82</v>
      </c>
      <c r="C39">
        <v>182.65454545454546</v>
      </c>
      <c r="D39">
        <v>11</v>
      </c>
      <c r="E39">
        <v>2141</v>
      </c>
      <c r="F39">
        <v>2130</v>
      </c>
    </row>
    <row r="40" spans="1:6" x14ac:dyDescent="0.3">
      <c r="A40" s="5" t="s">
        <v>546</v>
      </c>
      <c r="B40">
        <v>401397.6</v>
      </c>
      <c r="C40">
        <v>180.52941176470588</v>
      </c>
      <c r="D40">
        <v>-13</v>
      </c>
      <c r="E40">
        <v>1934</v>
      </c>
      <c r="F40">
        <v>1947</v>
      </c>
    </row>
    <row r="41" spans="1:6" x14ac:dyDescent="0.3">
      <c r="A41" s="5" t="s">
        <v>551</v>
      </c>
      <c r="B41">
        <v>387199.20000000007</v>
      </c>
      <c r="C41">
        <v>188.75</v>
      </c>
      <c r="D41">
        <v>25</v>
      </c>
      <c r="E41">
        <v>1745</v>
      </c>
      <c r="F41">
        <v>1720</v>
      </c>
    </row>
    <row r="42" spans="1:6" x14ac:dyDescent="0.3">
      <c r="A42" s="5" t="s">
        <v>547</v>
      </c>
      <c r="B42">
        <v>382004.66</v>
      </c>
      <c r="C42">
        <v>170.12962962962962</v>
      </c>
      <c r="D42">
        <v>-1</v>
      </c>
      <c r="E42">
        <v>1995</v>
      </c>
      <c r="F42">
        <v>1996</v>
      </c>
    </row>
    <row r="43" spans="1:6" x14ac:dyDescent="0.3">
      <c r="A43" s="5" t="s">
        <v>549</v>
      </c>
      <c r="B43">
        <v>367785.3000000001</v>
      </c>
      <c r="C43">
        <v>176.09756097560975</v>
      </c>
      <c r="D43">
        <v>24</v>
      </c>
      <c r="E43">
        <v>1704</v>
      </c>
      <c r="F43">
        <v>1680</v>
      </c>
    </row>
    <row r="44" spans="1:6" x14ac:dyDescent="0.3">
      <c r="A44" s="5" t="s">
        <v>550</v>
      </c>
      <c r="B44">
        <v>356508.37999999995</v>
      </c>
      <c r="C44">
        <v>178.4</v>
      </c>
      <c r="D44">
        <v>-11</v>
      </c>
      <c r="E44">
        <v>1706</v>
      </c>
      <c r="F44">
        <v>1717</v>
      </c>
    </row>
    <row r="45" spans="1:6" x14ac:dyDescent="0.3">
      <c r="A45" s="5" t="s">
        <v>548</v>
      </c>
      <c r="B45">
        <v>333771.15999999992</v>
      </c>
      <c r="C45">
        <v>176.19148936170214</v>
      </c>
      <c r="D45">
        <v>63</v>
      </c>
      <c r="E45">
        <v>1574</v>
      </c>
      <c r="F45">
        <v>1511</v>
      </c>
    </row>
    <row r="46" spans="1:6" x14ac:dyDescent="0.3">
      <c r="A46" s="5" t="s">
        <v>555</v>
      </c>
      <c r="B46">
        <v>4109729.3199999994</v>
      </c>
      <c r="C46">
        <v>181.20599999999999</v>
      </c>
      <c r="D46">
        <v>109</v>
      </c>
      <c r="E46">
        <v>19444</v>
      </c>
      <c r="F46">
        <v>19335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7D9E2-BF1A-442D-8385-6042C10C3061}">
  <dimension ref="A1:I33"/>
  <sheetViews>
    <sheetView tabSelected="1" zoomScale="86" zoomScaleNormal="71" workbookViewId="0">
      <selection activeCell="G20" sqref="G20"/>
    </sheetView>
  </sheetViews>
  <sheetFormatPr defaultRowHeight="14.4" x14ac:dyDescent="0.3"/>
  <cols>
    <col min="1" max="1" width="13.5546875" bestFit="1" customWidth="1"/>
    <col min="2" max="2" width="34" bestFit="1" customWidth="1"/>
    <col min="3" max="3" width="17.6640625" bestFit="1" customWidth="1"/>
    <col min="4" max="4" width="16.77734375" bestFit="1" customWidth="1"/>
    <col min="5" max="5" width="17.6640625" bestFit="1" customWidth="1"/>
    <col min="6" max="6" width="16.77734375" bestFit="1" customWidth="1"/>
    <col min="7" max="7" width="31.88671875" bestFit="1" customWidth="1"/>
    <col min="8" max="8" width="21.77734375" bestFit="1" customWidth="1"/>
    <col min="9" max="9" width="22.6640625" bestFit="1" customWidth="1"/>
    <col min="10" max="10" width="20.44140625" bestFit="1" customWidth="1"/>
    <col min="12" max="12" width="21.6640625" bestFit="1" customWidth="1"/>
  </cols>
  <sheetData>
    <row r="1" spans="1:9" x14ac:dyDescent="0.3">
      <c r="B1" s="4" t="s">
        <v>568</v>
      </c>
    </row>
    <row r="2" spans="1:9" x14ac:dyDescent="0.3">
      <c r="B2" s="7" t="s">
        <v>543</v>
      </c>
      <c r="C2" s="7"/>
      <c r="D2" s="9" t="s">
        <v>542</v>
      </c>
      <c r="E2" s="9"/>
      <c r="F2" s="11" t="s">
        <v>541</v>
      </c>
      <c r="G2" s="11"/>
      <c r="H2" t="s">
        <v>579</v>
      </c>
      <c r="I2" t="s">
        <v>575</v>
      </c>
    </row>
    <row r="3" spans="1:9" x14ac:dyDescent="0.3">
      <c r="A3" s="4" t="s">
        <v>554</v>
      </c>
      <c r="B3" s="7" t="s">
        <v>580</v>
      </c>
      <c r="C3" s="7" t="s">
        <v>576</v>
      </c>
      <c r="D3" s="9" t="s">
        <v>580</v>
      </c>
      <c r="E3" s="9" t="s">
        <v>576</v>
      </c>
      <c r="F3" s="11" t="s">
        <v>580</v>
      </c>
      <c r="G3" s="11" t="s">
        <v>576</v>
      </c>
    </row>
    <row r="4" spans="1:9" x14ac:dyDescent="0.3">
      <c r="A4" s="5" t="s">
        <v>581</v>
      </c>
      <c r="B4" s="7">
        <v>764552.96000000008</v>
      </c>
      <c r="C4" s="8">
        <v>0.29182693611698546</v>
      </c>
      <c r="D4" s="9">
        <v>902507.46</v>
      </c>
      <c r="E4" s="10">
        <v>0.34448364031514939</v>
      </c>
      <c r="F4" s="11">
        <v>952824.4</v>
      </c>
      <c r="G4" s="12">
        <v>0.36368942356786504</v>
      </c>
      <c r="H4">
        <v>2619884.8200000003</v>
      </c>
      <c r="I4" s="6">
        <v>1</v>
      </c>
    </row>
    <row r="5" spans="1:9" x14ac:dyDescent="0.3">
      <c r="A5" s="14" t="s">
        <v>564</v>
      </c>
      <c r="B5" s="7">
        <v>172646.18000000002</v>
      </c>
      <c r="C5" s="8">
        <v>0.24782975141917793</v>
      </c>
      <c r="D5" s="9">
        <v>277971.36</v>
      </c>
      <c r="E5" s="10">
        <v>0.39902170468208914</v>
      </c>
      <c r="F5" s="11">
        <v>246014.63999999998</v>
      </c>
      <c r="G5" s="12">
        <v>0.35314854389873285</v>
      </c>
      <c r="H5">
        <v>696632.18</v>
      </c>
      <c r="I5" s="6">
        <v>1</v>
      </c>
    </row>
    <row r="6" spans="1:9" x14ac:dyDescent="0.3">
      <c r="A6" s="16" t="s">
        <v>565</v>
      </c>
      <c r="B6" s="15">
        <v>131035.07999999999</v>
      </c>
      <c r="C6" s="13">
        <v>0.23315036581818974</v>
      </c>
      <c r="D6" s="15">
        <v>184610.18</v>
      </c>
      <c r="E6" s="13">
        <v>0.32847639731865585</v>
      </c>
      <c r="F6" s="15">
        <v>246374.36</v>
      </c>
      <c r="G6" s="13">
        <v>0.43837323686315433</v>
      </c>
      <c r="H6" s="15">
        <v>562019.62</v>
      </c>
      <c r="I6" s="13">
        <v>1</v>
      </c>
    </row>
    <row r="7" spans="1:9" x14ac:dyDescent="0.3">
      <c r="A7" s="14" t="s">
        <v>566</v>
      </c>
      <c r="B7" s="7">
        <v>249326.44000000003</v>
      </c>
      <c r="C7" s="8">
        <v>0.35390041784493215</v>
      </c>
      <c r="D7" s="9">
        <v>234165.21999999997</v>
      </c>
      <c r="E7" s="10">
        <v>0.3323801888109037</v>
      </c>
      <c r="F7" s="11">
        <v>221018.50000000003</v>
      </c>
      <c r="G7" s="12">
        <v>0.31371939334416415</v>
      </c>
      <c r="H7">
        <v>704510.16</v>
      </c>
      <c r="I7" s="6">
        <v>1</v>
      </c>
    </row>
    <row r="8" spans="1:9" x14ac:dyDescent="0.3">
      <c r="A8" s="14" t="s">
        <v>567</v>
      </c>
      <c r="B8" s="7">
        <v>211545.26000000004</v>
      </c>
      <c r="C8" s="8">
        <v>0.32212257694212137</v>
      </c>
      <c r="D8" s="9">
        <v>205760.7</v>
      </c>
      <c r="E8" s="10">
        <v>0.31331435607403707</v>
      </c>
      <c r="F8" s="11">
        <v>239416.9</v>
      </c>
      <c r="G8" s="12">
        <v>0.3645630669838415</v>
      </c>
      <c r="H8">
        <v>656722.8600000001</v>
      </c>
      <c r="I8" s="6">
        <v>1</v>
      </c>
    </row>
    <row r="9" spans="1:9" x14ac:dyDescent="0.3">
      <c r="A9" s="5" t="s">
        <v>582</v>
      </c>
      <c r="B9" s="7">
        <v>508819.46</v>
      </c>
      <c r="C9" s="8">
        <v>0.34152521286617499</v>
      </c>
      <c r="D9" s="9">
        <v>491482.23999999987</v>
      </c>
      <c r="E9" s="10">
        <v>0.32988828028696948</v>
      </c>
      <c r="F9" s="11">
        <v>489542.8</v>
      </c>
      <c r="G9" s="12">
        <v>0.32858650684685548</v>
      </c>
      <c r="H9">
        <v>1489844.5</v>
      </c>
      <c r="I9" s="6">
        <v>1</v>
      </c>
    </row>
    <row r="10" spans="1:9" x14ac:dyDescent="0.3">
      <c r="A10" s="14" t="s">
        <v>564</v>
      </c>
      <c r="B10" s="7">
        <v>313241.71999999997</v>
      </c>
      <c r="C10" s="8">
        <v>0.36105445764948058</v>
      </c>
      <c r="D10" s="9">
        <v>285270.99999999994</v>
      </c>
      <c r="E10" s="10">
        <v>0.32881432967525837</v>
      </c>
      <c r="F10" s="11">
        <v>269062</v>
      </c>
      <c r="G10" s="12">
        <v>0.310131212675261</v>
      </c>
      <c r="H10">
        <v>867574.72</v>
      </c>
      <c r="I10" s="6">
        <v>1</v>
      </c>
    </row>
    <row r="11" spans="1:9" x14ac:dyDescent="0.3">
      <c r="A11" s="17" t="s">
        <v>565</v>
      </c>
      <c r="B11" s="7">
        <v>195577.74000000005</v>
      </c>
      <c r="C11" s="8">
        <v>0.31429734543753685</v>
      </c>
      <c r="D11" s="9">
        <v>206211.23999999996</v>
      </c>
      <c r="E11" s="10">
        <v>0.33138559291759268</v>
      </c>
      <c r="F11" s="11">
        <v>220480.8</v>
      </c>
      <c r="G11" s="12">
        <v>0.35431706164487048</v>
      </c>
      <c r="H11" s="18">
        <v>622269.78</v>
      </c>
      <c r="I11" s="19">
        <v>1</v>
      </c>
    </row>
    <row r="12" spans="1:9" x14ac:dyDescent="0.3">
      <c r="A12" s="5" t="s">
        <v>555</v>
      </c>
      <c r="B12" s="7">
        <v>1273372.4200000002</v>
      </c>
      <c r="C12" s="8">
        <v>0.30984337917417881</v>
      </c>
      <c r="D12" s="9">
        <v>1393989.7</v>
      </c>
      <c r="E12" s="10">
        <v>0.33919258215283138</v>
      </c>
      <c r="F12" s="11">
        <v>1442367.2</v>
      </c>
      <c r="G12" s="12">
        <v>0.35096403867298975</v>
      </c>
      <c r="H12">
        <v>4109729.3200000003</v>
      </c>
      <c r="I12" s="6">
        <v>1</v>
      </c>
    </row>
    <row r="23" spans="2:8" x14ac:dyDescent="0.3">
      <c r="B23" s="20" t="s">
        <v>584</v>
      </c>
      <c r="C23" s="21"/>
      <c r="D23" s="21"/>
    </row>
    <row r="24" spans="2:8" x14ac:dyDescent="0.3">
      <c r="B24" s="22">
        <f>MAX(G5:G8,G10:G11)</f>
        <v>0.43837323686315433</v>
      </c>
      <c r="C24" s="21" t="s">
        <v>585</v>
      </c>
      <c r="D24" s="21"/>
    </row>
    <row r="25" spans="2:8" x14ac:dyDescent="0.3">
      <c r="B25" s="21"/>
      <c r="C25" s="21"/>
      <c r="D25" s="21"/>
    </row>
    <row r="26" spans="2:8" x14ac:dyDescent="0.3">
      <c r="B26" s="21"/>
      <c r="C26" s="21"/>
      <c r="D26" s="21"/>
    </row>
    <row r="27" spans="2:8" x14ac:dyDescent="0.3">
      <c r="B27" s="21"/>
      <c r="C27" s="21"/>
      <c r="D27" s="21"/>
      <c r="G27" t="s">
        <v>572</v>
      </c>
    </row>
    <row r="28" spans="2:8" x14ac:dyDescent="0.3">
      <c r="B28" s="24" t="s">
        <v>583</v>
      </c>
      <c r="C28" s="20" t="s">
        <v>541</v>
      </c>
      <c r="D28" s="20" t="s">
        <v>573</v>
      </c>
      <c r="G28" t="s">
        <v>569</v>
      </c>
    </row>
    <row r="29" spans="2:8" x14ac:dyDescent="0.3">
      <c r="B29" s="23">
        <f>GETPIVOTDATA("Somma Fatturato",$A$1,"Quarters (Data)",2,"Years (Data)",2024) * 0.2</f>
        <v>112403.924</v>
      </c>
      <c r="C29" s="21">
        <f>GETPIVOTDATA("Somma Fatturato",$A$1,"StatoPagamento","Scaduto","Quarters (Data)",2,"Years (Data)",2024)</f>
        <v>246374.36</v>
      </c>
      <c r="D29" s="21" t="str">
        <f>IF(C29&gt;B29,H29,H30)</f>
        <v>Yes</v>
      </c>
      <c r="G29" t="s">
        <v>577</v>
      </c>
      <c r="H29" t="s">
        <v>570</v>
      </c>
    </row>
    <row r="30" spans="2:8" x14ac:dyDescent="0.3">
      <c r="G30" t="s">
        <v>578</v>
      </c>
      <c r="H30" t="s">
        <v>571</v>
      </c>
    </row>
    <row r="31" spans="2:8" x14ac:dyDescent="0.3">
      <c r="D31" t="s">
        <v>574</v>
      </c>
    </row>
    <row r="32" spans="2:8" x14ac:dyDescent="0.3">
      <c r="D32" t="str">
        <f>IF(GETPIVOTDATA("Totale",$A$1,"StatoPagamento","Scaduto","Years (Data)",2024,"Quarters (Data)",2)&gt;GETPIVOTDATA("Totale",$A$1,"Years (Data)",2024,"Quarters (Data)",2)*0.2,H29,H30)</f>
        <v>Yes</v>
      </c>
    </row>
    <row r="33" spans="2:4" x14ac:dyDescent="0.3">
      <c r="B33" s="6"/>
      <c r="D33" t="str">
        <f>IF(MAX(G5:G8,G10:G11)&gt;20%,"Yes","No")</f>
        <v>Yes</v>
      </c>
    </row>
  </sheetData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DS_Consulenze_RAW</vt:lpstr>
      <vt:lpstr>DS_Consulenze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 Valenti</dc:creator>
  <cp:lastModifiedBy>Elia Valenti</cp:lastModifiedBy>
  <dcterms:created xsi:type="dcterms:W3CDTF">2025-07-07T09:27:34Z</dcterms:created>
  <dcterms:modified xsi:type="dcterms:W3CDTF">2026-09-07T09:54:14Z</dcterms:modified>
</cp:coreProperties>
</file>