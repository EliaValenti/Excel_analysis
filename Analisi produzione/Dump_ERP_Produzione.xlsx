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liav\Desktop\Analisi produzione\"/>
    </mc:Choice>
  </mc:AlternateContent>
  <xr:revisionPtr revIDLastSave="0" documentId="13_ncr:1_{4A059D5B-C55E-4601-A120-97D98186416F}" xr6:coauthVersionLast="47" xr6:coauthVersionMax="47" xr10:uidLastSave="{00000000-0000-0000-0000-000000000000}"/>
  <bookViews>
    <workbookView xWindow="-28920" yWindow="-840" windowWidth="29040" windowHeight="15720" activeTab="4" xr2:uid="{00000000-000D-0000-FFFF-FFFF00000000}"/>
  </bookViews>
  <sheets>
    <sheet name="RAW_Dump_Produzione" sheetId="1" r:id="rId1"/>
    <sheet name="CLEAN_Dump_Produzione" sheetId="2" r:id="rId2"/>
    <sheet name="ID_ARTICOLI" sheetId="3" r:id="rId3"/>
    <sheet name="PIVOT" sheetId="4" r:id="rId4"/>
    <sheet name="CHARTS" sheetId="5" r:id="rId5"/>
  </sheets>
  <definedNames>
    <definedName name="ID_ARTICOLI">Table1[]</definedName>
    <definedName name="TOT_PRODUZIONE">Table2[]</definedName>
  </definedName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N2" i="2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N5" i="2"/>
  <c r="N3" i="2"/>
  <c r="N4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G35" i="2"/>
  <c r="G56" i="2"/>
  <c r="G100" i="2"/>
  <c r="G131" i="2"/>
  <c r="G1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 Valenti</author>
  </authors>
  <commentList>
    <comment ref="N1" authorId="0" shapeId="0" xr:uid="{8178C712-15F8-4133-AD0C-970AE5623192}">
      <text>
        <r>
          <rPr>
            <b/>
            <sz val="9"/>
            <color indexed="81"/>
            <rFont val="Tahoma"/>
            <family val="2"/>
          </rPr>
          <t>Elia Valenti:</t>
        </r>
        <r>
          <rPr>
            <sz val="9"/>
            <color indexed="81"/>
            <rFont val="Tahoma"/>
            <family val="2"/>
          </rPr>
          <t xml:space="preserve">
Un valore positivo indica un extracosto/inefficienza; un valore negativo indica un risparmio</t>
        </r>
      </text>
    </comment>
  </commentList>
</comments>
</file>

<file path=xl/sharedStrings.xml><?xml version="1.0" encoding="utf-8"?>
<sst xmlns="http://schemas.openxmlformats.org/spreadsheetml/2006/main" count="2141" uniqueCount="409">
  <si>
    <t>ID_ORDINE_PROD</t>
  </si>
  <si>
    <t>DATA_INIZIO_PROG</t>
  </si>
  <si>
    <t>LINEA_PRODUZIONE</t>
  </si>
  <si>
    <t>CODICE_ARTICOLO</t>
  </si>
  <si>
    <t>DESCRIZIONE_ARTICOLO</t>
  </si>
  <si>
    <t>QTA_LOTTO</t>
  </si>
  <si>
    <t>QTA_PRODOTTA_EFF</t>
  </si>
  <si>
    <t>QTA_SCARTO</t>
  </si>
  <si>
    <t>COSTO_STD_UNITARIO</t>
  </si>
  <si>
    <t>COSTO_EFF_UNITARIO</t>
  </si>
  <si>
    <t>CAUSALE_SCARTO</t>
  </si>
  <si>
    <t>ODP-2026-1114</t>
  </si>
  <si>
    <t>04-10-2026</t>
  </si>
  <si>
    <t>Linea 2 - Assemblaggio</t>
  </si>
  <si>
    <t>ART-MEC-01</t>
  </si>
  <si>
    <t>Albero di Trasmissione Precisione</t>
  </si>
  <si>
    <t>Tolleranza Fuori Limite</t>
  </si>
  <si>
    <t>ODP-2026-1165</t>
  </si>
  <si>
    <t>2026-11-17</t>
  </si>
  <si>
    <t xml:space="preserve">Linea 2 - Assemblaggio </t>
  </si>
  <si>
    <t>ART-ASS-01</t>
  </si>
  <si>
    <t>Gruppo Valvola Idraulica Completa</t>
  </si>
  <si>
    <t>Usura Utensile</t>
  </si>
  <si>
    <t>ODP-2026-1170</t>
  </si>
  <si>
    <t>21/11/2026</t>
  </si>
  <si>
    <t>Difetto Materia Prima</t>
  </si>
  <si>
    <t>ODP-2026-1102</t>
  </si>
  <si>
    <t>24/09/2026</t>
  </si>
  <si>
    <t>Linea 1 - Meccanica</t>
  </si>
  <si>
    <t>ART-ELE-02</t>
  </si>
  <si>
    <t>Sensore di Pressione Digitale High-Temp</t>
  </si>
  <si>
    <t>ODP-2026-1101</t>
  </si>
  <si>
    <t>2026-09-23</t>
  </si>
  <si>
    <t>LINEA 3 - ELETTRONICA</t>
  </si>
  <si>
    <t>ART-ELE-01</t>
  </si>
  <si>
    <t>Scheda Controllo Inverter 400V</t>
  </si>
  <si>
    <t>ODP-2026-1016</t>
  </si>
  <si>
    <t>2026-07-13</t>
  </si>
  <si>
    <t>Linea 3 - Elettronica</t>
  </si>
  <si>
    <t>Problema Saldatura/Smt</t>
  </si>
  <si>
    <t>ODP-2026-1178</t>
  </si>
  <si>
    <t>28/11/2026</t>
  </si>
  <si>
    <t>ART-ASS-03</t>
  </si>
  <si>
    <t>Modulo Riduttore Epicroidale</t>
  </si>
  <si>
    <t>ODP-2026-1036</t>
  </si>
  <si>
    <t>30-07-2026</t>
  </si>
  <si>
    <t>ART-MEC-03</t>
  </si>
  <si>
    <t>Flangia Acciaio Inox 120mm</t>
  </si>
  <si>
    <t>ODP-2026-1120</t>
  </si>
  <si>
    <t>10/10/2026</t>
  </si>
  <si>
    <t>LINEA 1 - MECCANICA</t>
  </si>
  <si>
    <t>ODP-2026-1153</t>
  </si>
  <si>
    <t>2026-11-07</t>
  </si>
  <si>
    <t>ODP-2026-1025</t>
  </si>
  <si>
    <t>21/07/2026</t>
  </si>
  <si>
    <t>Errore Set-up Macchina</t>
  </si>
  <si>
    <t>ODP-2026-1077</t>
  </si>
  <si>
    <t>03-09-2026</t>
  </si>
  <si>
    <t>ART-ELE-03</t>
  </si>
  <si>
    <t>Quadro Comando Touch 10'' Industrial</t>
  </si>
  <si>
    <t>ODP-2026-1157</t>
  </si>
  <si>
    <t>10/11/2026</t>
  </si>
  <si>
    <t>ODP-2026-1119</t>
  </si>
  <si>
    <t>09-10-2026</t>
  </si>
  <si>
    <t>ODP-2026-1069</t>
  </si>
  <si>
    <t>2026-08-27</t>
  </si>
  <si>
    <t xml:space="preserve"> Linea 1 - Meccanica </t>
  </si>
  <si>
    <t>ODP-2026-1017</t>
  </si>
  <si>
    <t>14/07/2026</t>
  </si>
  <si>
    <t>ODP-2026-1123</t>
  </si>
  <si>
    <t>12/10/2026</t>
  </si>
  <si>
    <t>ODP-2026-1031</t>
  </si>
  <si>
    <t>26/07/2026</t>
  </si>
  <si>
    <t>ODP-2026-1137</t>
  </si>
  <si>
    <t>24/10/2026</t>
  </si>
  <si>
    <t>ODP-2026-1020</t>
  </si>
  <si>
    <t>2026-07-17</t>
  </si>
  <si>
    <t>ODP-2026-1076</t>
  </si>
  <si>
    <t>02-09-2026</t>
  </si>
  <si>
    <t>ODP-2026-1116</t>
  </si>
  <si>
    <t>06-10-2026</t>
  </si>
  <si>
    <t>ODP-2026-1127</t>
  </si>
  <si>
    <t>15-10-2026</t>
  </si>
  <si>
    <t>ODP-2026-1148</t>
  </si>
  <si>
    <t>02/11/2026</t>
  </si>
  <si>
    <t>ODP-2026-1070</t>
  </si>
  <si>
    <t>28-08-2026</t>
  </si>
  <si>
    <t>ODP-2026-1010</t>
  </si>
  <si>
    <t>08-07-2026</t>
  </si>
  <si>
    <t>ART-ASS-02</t>
  </si>
  <si>
    <t>Attuatore Pneumatico Bi-Stadio</t>
  </si>
  <si>
    <t>ODP-2026-1129</t>
  </si>
  <si>
    <t>2026-10-17</t>
  </si>
  <si>
    <t>ODP-2026-1138</t>
  </si>
  <si>
    <t>25-10-2026</t>
  </si>
  <si>
    <t>ODP-2026-1019</t>
  </si>
  <si>
    <t>16/07/2026</t>
  </si>
  <si>
    <t>ODP-2026-1166</t>
  </si>
  <si>
    <t>18-11-2026</t>
  </si>
  <si>
    <t>ODP-2026-1177</t>
  </si>
  <si>
    <t>27/11/2026</t>
  </si>
  <si>
    <t>ODP-2026-1172</t>
  </si>
  <si>
    <t>2026-11-23</t>
  </si>
  <si>
    <t>linea 2 - assemblaggio</t>
  </si>
  <si>
    <t>ODP-2026-1043</t>
  </si>
  <si>
    <t>2026-08-05</t>
  </si>
  <si>
    <t>ODP-2026-1112</t>
  </si>
  <si>
    <t>2026-10-03</t>
  </si>
  <si>
    <t>ODP-2026-1046</t>
  </si>
  <si>
    <t>08/08/2026</t>
  </si>
  <si>
    <t>ODP-2026-1068</t>
  </si>
  <si>
    <t>26-08-2026</t>
  </si>
  <si>
    <t>ODP-2026-1162</t>
  </si>
  <si>
    <t>14/11/2026</t>
  </si>
  <si>
    <t>ODP-2026-1030</t>
  </si>
  <si>
    <t>2026-07-25</t>
  </si>
  <si>
    <t>ART-MEC-02</t>
  </si>
  <si>
    <t>Ingranaggio Elicoidale Z45</t>
  </si>
  <si>
    <t>ODP-2026-1124</t>
  </si>
  <si>
    <t>2026-10-13</t>
  </si>
  <si>
    <t>ODP-2026-1136</t>
  </si>
  <si>
    <t>23/10/2026</t>
  </si>
  <si>
    <t>ODP-2026-1151</t>
  </si>
  <si>
    <t>05-11-2026</t>
  </si>
  <si>
    <t>ODP-2026-1032</t>
  </si>
  <si>
    <t>2026-07-27</t>
  </si>
  <si>
    <t>ODP-2026-1013</t>
  </si>
  <si>
    <t>11-07-2026</t>
  </si>
  <si>
    <t>ODP-2026-1042</t>
  </si>
  <si>
    <t>04/08/2026</t>
  </si>
  <si>
    <t>ODP-2026-1052</t>
  </si>
  <si>
    <t>13-08-2026</t>
  </si>
  <si>
    <t>ODP-2026-1057</t>
  </si>
  <si>
    <t>2026-08-17</t>
  </si>
  <si>
    <t>ODP-2026-1094</t>
  </si>
  <si>
    <t>17/09/2026</t>
  </si>
  <si>
    <t>ODP-2026-1091</t>
  </si>
  <si>
    <t>2026-09-15</t>
  </si>
  <si>
    <t>ODP-2026-1067</t>
  </si>
  <si>
    <t>2026-08-26</t>
  </si>
  <si>
    <t>ODP-2026-1039</t>
  </si>
  <si>
    <t>02/08/2026</t>
  </si>
  <si>
    <t>ODP-2026-1056</t>
  </si>
  <si>
    <t>16-08-2026</t>
  </si>
  <si>
    <t>ODP-2026-1099</t>
  </si>
  <si>
    <t>2026-09-22</t>
  </si>
  <si>
    <t>ODP-2026-1154</t>
  </si>
  <si>
    <t>07/11/2026</t>
  </si>
  <si>
    <t>ODP-2026-1097</t>
  </si>
  <si>
    <t>20/09/2026</t>
  </si>
  <si>
    <t>ODP-2026-1003</t>
  </si>
  <si>
    <t>02-07-2026</t>
  </si>
  <si>
    <t>ODP-2026-1113</t>
  </si>
  <si>
    <t>ODP-2026-1047</t>
  </si>
  <si>
    <t>09/08/2026</t>
  </si>
  <si>
    <t>ODP-2026-1066</t>
  </si>
  <si>
    <t>25/08/2026</t>
  </si>
  <si>
    <t>ODP-2026-1061</t>
  </si>
  <si>
    <t>20/08/2026</t>
  </si>
  <si>
    <t>ODP-2026-1179</t>
  </si>
  <si>
    <t>29-11-2026</t>
  </si>
  <si>
    <t>ODP-2026-1027</t>
  </si>
  <si>
    <t>2026-07-23</t>
  </si>
  <si>
    <t>ODP-2026-1160</t>
  </si>
  <si>
    <t>13-11-2026</t>
  </si>
  <si>
    <t>ODP-2026-1105</t>
  </si>
  <si>
    <t>27-09-2026</t>
  </si>
  <si>
    <t>ODP-2026-1118</t>
  </si>
  <si>
    <t>2026-10-08</t>
  </si>
  <si>
    <t>ODP-2026-1037</t>
  </si>
  <si>
    <t>31/07/2026</t>
  </si>
  <si>
    <t>ODP-2026-1125</t>
  </si>
  <si>
    <t>2026-10-14</t>
  </si>
  <si>
    <t>ODP-2026-1023</t>
  </si>
  <si>
    <t>2026-07-19</t>
  </si>
  <si>
    <t>ODP-2026-1149</t>
  </si>
  <si>
    <t>2026-11-03</t>
  </si>
  <si>
    <t>ODP-2026-1079</t>
  </si>
  <si>
    <t>05/09/2026</t>
  </si>
  <si>
    <t>ODP-2026-1175</t>
  </si>
  <si>
    <t>25/11/2026</t>
  </si>
  <si>
    <t>ODP-2026-1012</t>
  </si>
  <si>
    <t>10-07-2026</t>
  </si>
  <si>
    <t>ODP-2026-1109</t>
  </si>
  <si>
    <t>2026-09-30</t>
  </si>
  <si>
    <t>ODP-2026-1147</t>
  </si>
  <si>
    <t>01/11/2026</t>
  </si>
  <si>
    <t>ODP-2026-1007</t>
  </si>
  <si>
    <t>2026-07-06</t>
  </si>
  <si>
    <t>ODP-2026-1028</t>
  </si>
  <si>
    <t>23/07/2026</t>
  </si>
  <si>
    <t>ODP-2026-1096</t>
  </si>
  <si>
    <t>19/09/2026</t>
  </si>
  <si>
    <t>ODP-2026-1005</t>
  </si>
  <si>
    <t>2026-07-04</t>
  </si>
  <si>
    <t>ODP-2026-1033</t>
  </si>
  <si>
    <t>2026-07-28</t>
  </si>
  <si>
    <t>ODP-2026-1083</t>
  </si>
  <si>
    <t>08/09/2026</t>
  </si>
  <si>
    <t>ODP-2026-1133</t>
  </si>
  <si>
    <t>2026-10-21</t>
  </si>
  <si>
    <t>ODP-2026-1086</t>
  </si>
  <si>
    <t>11/09/2026</t>
  </si>
  <si>
    <t>ODP-2026-1145</t>
  </si>
  <si>
    <t>2026-10-31</t>
  </si>
  <si>
    <t>ODP-2026-1011</t>
  </si>
  <si>
    <t>2026-07-09</t>
  </si>
  <si>
    <t>ODP-2026-1121</t>
  </si>
  <si>
    <t>10-10-2026</t>
  </si>
  <si>
    <t>ODP-2026-1134</t>
  </si>
  <si>
    <t>21/10/2026</t>
  </si>
  <si>
    <t>ODP-2026-1001</t>
  </si>
  <si>
    <t>01/07/2026</t>
  </si>
  <si>
    <t>ODP-2026-1167</t>
  </si>
  <si>
    <t>18/11/2026</t>
  </si>
  <si>
    <t>ODP-2026-1141</t>
  </si>
  <si>
    <t>27-10-2026</t>
  </si>
  <si>
    <t>ODP-2026-1071</t>
  </si>
  <si>
    <t>29-08-2026</t>
  </si>
  <si>
    <t>ODP-2026-1098</t>
  </si>
  <si>
    <t>21/09/2026</t>
  </si>
  <si>
    <t>ODP-2026-1065</t>
  </si>
  <si>
    <t>2026-08-24</t>
  </si>
  <si>
    <t>ODP-2026-1045</t>
  </si>
  <si>
    <t>2026-08-07</t>
  </si>
  <si>
    <t>ODP-2026-1110</t>
  </si>
  <si>
    <t>2026-10-01</t>
  </si>
  <si>
    <t>ODP-2026-1029</t>
  </si>
  <si>
    <t>24/07/2026</t>
  </si>
  <si>
    <t>ODP-2026-1041</t>
  </si>
  <si>
    <t>2026-08-03</t>
  </si>
  <si>
    <t>ODP-2026-1143</t>
  </si>
  <si>
    <t>29/10/2026</t>
  </si>
  <si>
    <t>ODP-2026-1144</t>
  </si>
  <si>
    <t>30/10/2026</t>
  </si>
  <si>
    <t>ODP-2026-1026</t>
  </si>
  <si>
    <t>22-07-2026</t>
  </si>
  <si>
    <t>ODP-2026-1024</t>
  </si>
  <si>
    <t>20/07/2026</t>
  </si>
  <si>
    <t>ODP-2026-1139</t>
  </si>
  <si>
    <t>26/10/2026</t>
  </si>
  <si>
    <t>ODP-2026-1082</t>
  </si>
  <si>
    <t>07/09/2026</t>
  </si>
  <si>
    <t>ODP-2026-1080</t>
  </si>
  <si>
    <t>2026-09-06</t>
  </si>
  <si>
    <t>ODP-2026-1085</t>
  </si>
  <si>
    <t>10/09/2026</t>
  </si>
  <si>
    <t>ODP-2026-1040</t>
  </si>
  <si>
    <t>03/08/2026</t>
  </si>
  <si>
    <t>ODP-2026-1115</t>
  </si>
  <si>
    <t>05/10/2026</t>
  </si>
  <si>
    <t>ODP-2026-1087</t>
  </si>
  <si>
    <t>12-09-2026</t>
  </si>
  <si>
    <t>ODP-2026-1078</t>
  </si>
  <si>
    <t>2026-09-04</t>
  </si>
  <si>
    <t>ODP-2026-1006</t>
  </si>
  <si>
    <t>2026-07-05</t>
  </si>
  <si>
    <t>ODP-2026-1156</t>
  </si>
  <si>
    <t>2026-11-09</t>
  </si>
  <si>
    <t>ODP-2026-1048</t>
  </si>
  <si>
    <t>ODP-2026-1095</t>
  </si>
  <si>
    <t>18-09-2026</t>
  </si>
  <si>
    <t>ODP-2026-1142</t>
  </si>
  <si>
    <t>2026-10-28</t>
  </si>
  <si>
    <t>ODP-2026-1174</t>
  </si>
  <si>
    <t>2026-11-24</t>
  </si>
  <si>
    <t>ODP-2026-1062</t>
  </si>
  <si>
    <t>2026-08-21</t>
  </si>
  <si>
    <t>ODP-2026-1074</t>
  </si>
  <si>
    <t>31-08-2026</t>
  </si>
  <si>
    <t>ODP-2026-1034</t>
  </si>
  <si>
    <t>29-07-2026</t>
  </si>
  <si>
    <t>ODP-2026-1044</t>
  </si>
  <si>
    <t>06-08-2026</t>
  </si>
  <si>
    <t>ODP-2026-1140</t>
  </si>
  <si>
    <t>ODP-2026-1146</t>
  </si>
  <si>
    <t>2026-11-01</t>
  </si>
  <si>
    <t>ODP-2026-1063</t>
  </si>
  <si>
    <t>22-08-2026</t>
  </si>
  <si>
    <t>ODP-2026-1128</t>
  </si>
  <si>
    <t>16-10-2026</t>
  </si>
  <si>
    <t>ODP-2026-1004</t>
  </si>
  <si>
    <t>03/07/2026</t>
  </si>
  <si>
    <t>ODP-2026-1106</t>
  </si>
  <si>
    <t>2026-09-28</t>
  </si>
  <si>
    <t>ODP-2026-1054</t>
  </si>
  <si>
    <t>15-08-2026</t>
  </si>
  <si>
    <t>ODP-2026-1126</t>
  </si>
  <si>
    <t>15/10/2026</t>
  </si>
  <si>
    <t>ODP-2026-1168</t>
  </si>
  <si>
    <t>2026-11-19</t>
  </si>
  <si>
    <t>ODP-2026-1173</t>
  </si>
  <si>
    <t>24/11/2026</t>
  </si>
  <si>
    <t>ODP-2026-1050</t>
  </si>
  <si>
    <t>2026-08-11</t>
  </si>
  <si>
    <t>ODP-2026-1081</t>
  </si>
  <si>
    <t>06-09-2026</t>
  </si>
  <si>
    <t>ODP-2026-1035</t>
  </si>
  <si>
    <t>ODP-2026-1008</t>
  </si>
  <si>
    <t>06-07-2026</t>
  </si>
  <si>
    <t>ODP-2026-1111</t>
  </si>
  <si>
    <t>2026-10-02</t>
  </si>
  <si>
    <t>ODP-2026-1092</t>
  </si>
  <si>
    <t>16-09-2026</t>
  </si>
  <si>
    <t>ODP-2026-1084</t>
  </si>
  <si>
    <t>2026-09-09</t>
  </si>
  <si>
    <t>ODP-2026-1164</t>
  </si>
  <si>
    <t>16/11/2026</t>
  </si>
  <si>
    <t>ODP-2026-1169</t>
  </si>
  <si>
    <t>2026-11-20</t>
  </si>
  <si>
    <t>ODP-2026-1090</t>
  </si>
  <si>
    <t>14/09/2026</t>
  </si>
  <si>
    <t>ODP-2026-1009</t>
  </si>
  <si>
    <t>07/07/2026</t>
  </si>
  <si>
    <t>ODP-2026-1014</t>
  </si>
  <si>
    <t>2026-07-12</t>
  </si>
  <si>
    <t>ODP-2026-1060</t>
  </si>
  <si>
    <t>ODP-2026-1159</t>
  </si>
  <si>
    <t>2026-11-12</t>
  </si>
  <si>
    <t>ODP-2026-1132</t>
  </si>
  <si>
    <t>2026-10-20</t>
  </si>
  <si>
    <t>ODP-2026-1018</t>
  </si>
  <si>
    <t>15/07/2026</t>
  </si>
  <si>
    <t>ODP-2026-1073</t>
  </si>
  <si>
    <t>2026-08-31</t>
  </si>
  <si>
    <t>ODP-2026-1163</t>
  </si>
  <si>
    <t>15/11/2026</t>
  </si>
  <si>
    <t>ODP-2026-1135</t>
  </si>
  <si>
    <t>22-10-2026</t>
  </si>
  <si>
    <t>ODP-2026-1155</t>
  </si>
  <si>
    <t>08-11-2026</t>
  </si>
  <si>
    <t>ODP-2026-1171</t>
  </si>
  <si>
    <t>22/11/2026</t>
  </si>
  <si>
    <t>ODP-2026-1064</t>
  </si>
  <si>
    <t>23/08/2026</t>
  </si>
  <si>
    <t>ODP-2026-1055</t>
  </si>
  <si>
    <t>15/08/2026</t>
  </si>
  <si>
    <t>ODP-2026-1108</t>
  </si>
  <si>
    <t>29-09-2026</t>
  </si>
  <si>
    <t>ODP-2026-1051</t>
  </si>
  <si>
    <t>12-08-2026</t>
  </si>
  <si>
    <t>ODP-2026-1059</t>
  </si>
  <si>
    <t>2026-08-19</t>
  </si>
  <si>
    <t>ODP-2026-1049</t>
  </si>
  <si>
    <t>10/08/2026</t>
  </si>
  <si>
    <t>ODP-2026-1089</t>
  </si>
  <si>
    <t>13-09-2026</t>
  </si>
  <si>
    <t>ODP-2026-1022</t>
  </si>
  <si>
    <t>2026-07-18</t>
  </si>
  <si>
    <t>ODP-2026-1058</t>
  </si>
  <si>
    <t>2026-08-18</t>
  </si>
  <si>
    <t>ODP-2026-1161</t>
  </si>
  <si>
    <t>13/11/2026</t>
  </si>
  <si>
    <t>ODP-2026-1130</t>
  </si>
  <si>
    <t>18/10/2026</t>
  </si>
  <si>
    <t>ODP-2026-1038</t>
  </si>
  <si>
    <t>2026-08-01</t>
  </si>
  <si>
    <t>ODP-2026-1158</t>
  </si>
  <si>
    <t>11-11-2026</t>
  </si>
  <si>
    <t>ODP-2026-1176</t>
  </si>
  <si>
    <t>2026-11-26</t>
  </si>
  <si>
    <t>ODP-2026-1002</t>
  </si>
  <si>
    <t>01-07-2026</t>
  </si>
  <si>
    <t>ODP-2026-1053</t>
  </si>
  <si>
    <t>14-08-2026</t>
  </si>
  <si>
    <t>ODP-2026-1150</t>
  </si>
  <si>
    <t>2026-11-04</t>
  </si>
  <si>
    <t>ODP-2026-1131</t>
  </si>
  <si>
    <t>19/10/2026</t>
  </si>
  <si>
    <t>ODP-2026-1152</t>
  </si>
  <si>
    <t>2026-11-06</t>
  </si>
  <si>
    <t>ODP-2026-1104</t>
  </si>
  <si>
    <t>26/09/2026</t>
  </si>
  <si>
    <t>ODP-2026-1100</t>
  </si>
  <si>
    <t>ODP-2026-1117</t>
  </si>
  <si>
    <t>07-10-2026</t>
  </si>
  <si>
    <t>ODP-2026-1088</t>
  </si>
  <si>
    <t>12/09/2026</t>
  </si>
  <si>
    <t>ODP-2026-1075</t>
  </si>
  <si>
    <t>01-09-2026</t>
  </si>
  <si>
    <t>ODP-2026-1122</t>
  </si>
  <si>
    <t>11-10-2026</t>
  </si>
  <si>
    <t>ODP-2026-1021</t>
  </si>
  <si>
    <t>17/07/2026</t>
  </si>
  <si>
    <t>ODP-2026-1072</t>
  </si>
  <si>
    <t>2026-08-30</t>
  </si>
  <si>
    <t>ODP-2026-1107</t>
  </si>
  <si>
    <t>29/09/2026</t>
  </si>
  <si>
    <t>ODP-2026-1015</t>
  </si>
  <si>
    <t>ODP-2026-1093</t>
  </si>
  <si>
    <t>17-09-2026</t>
  </si>
  <si>
    <t>ODP-2026-1180</t>
  </si>
  <si>
    <t>2026-11-30</t>
  </si>
  <si>
    <t>ODP-2026-1103</t>
  </si>
  <si>
    <t>25/09/2026</t>
  </si>
  <si>
    <t>Non Definito</t>
  </si>
  <si>
    <t>TOT_STD_COST (€)</t>
  </si>
  <si>
    <t>TOT_EFF_COST (€)</t>
  </si>
  <si>
    <t>Scostamento dei Costi / Cost Variance (€)</t>
  </si>
  <si>
    <t>Tasso di Scarto / Scrap Rate (%):</t>
  </si>
  <si>
    <t>Row Labels</t>
  </si>
  <si>
    <t>Grand Total</t>
  </si>
  <si>
    <t>TOT_EFF_COST</t>
  </si>
  <si>
    <t>AVG_SCRAP_RATE</t>
  </si>
  <si>
    <t>Sum of Scostamento dei Costi / Cost Variance (€)</t>
  </si>
  <si>
    <t>TOT_COST_VARIANCE(€)</t>
  </si>
  <si>
    <t>Column Labels</t>
  </si>
  <si>
    <t>Sum of QTA_SCARTO</t>
  </si>
  <si>
    <t>Sum of Scostamento dei Costi / Cost Variance (€)2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</si>
</sst>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2" xfId="0" applyFont="1" applyFill="1" applyBorder="1"/>
    <xf numFmtId="0" fontId="0" fillId="3" borderId="2" xfId="0" applyFont="1" applyFill="1" applyBorder="1"/>
    <xf numFmtId="0" fontId="3" fillId="2" borderId="6" xfId="0" applyFont="1" applyFill="1" applyBorder="1" applyAlignment="1">
      <alignment horizontal="center" vertical="top"/>
    </xf>
    <xf numFmtId="0" fontId="0" fillId="4" borderId="5" xfId="0" applyFont="1" applyFill="1" applyBorder="1"/>
    <xf numFmtId="49" fontId="3" fillId="2" borderId="3" xfId="0" applyNumberFormat="1" applyFont="1" applyFill="1" applyBorder="1" applyAlignment="1">
      <alignment horizontal="center" vertical="top"/>
    </xf>
    <xf numFmtId="49" fontId="0" fillId="3" borderId="5" xfId="0" applyNumberFormat="1" applyFont="1" applyFill="1" applyBorder="1"/>
    <xf numFmtId="49" fontId="0" fillId="4" borderId="2" xfId="0" applyNumberFormat="1" applyFont="1" applyFill="1" applyBorder="1"/>
    <xf numFmtId="49" fontId="0" fillId="3" borderId="2" xfId="0" applyNumberFormat="1" applyFont="1" applyFill="1" applyBorder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49" fontId="3" fillId="2" borderId="4" xfId="0" applyNumberFormat="1" applyFont="1" applyFill="1" applyBorder="1" applyAlignment="1">
      <alignment horizontal="center" vertical="top"/>
    </xf>
    <xf numFmtId="0" fontId="0" fillId="0" borderId="0" xfId="0" applyNumberFormat="1"/>
    <xf numFmtId="49" fontId="3" fillId="0" borderId="0" xfId="0" applyNumberFormat="1" applyFont="1" applyFill="1" applyBorder="1" applyAlignment="1">
      <alignment horizontal="center" vertical="top"/>
    </xf>
    <xf numFmtId="165" fontId="3" fillId="0" borderId="0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Border="1"/>
    <xf numFmtId="1" fontId="0" fillId="0" borderId="0" xfId="0" applyNumberFormat="1" applyFont="1" applyFill="1" applyBorder="1"/>
    <xf numFmtId="165" fontId="0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 vertical="top"/>
    </xf>
    <xf numFmtId="14" fontId="0" fillId="0" borderId="0" xfId="0" applyNumberFormat="1" applyFont="1" applyFill="1" applyBorder="1"/>
    <xf numFmtId="14" fontId="0" fillId="0" borderId="0" xfId="0" applyNumberFormat="1"/>
    <xf numFmtId="49" fontId="3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0" fontId="3" fillId="0" borderId="0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Fill="1" applyBorder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er cent" xfId="1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[Dump_ERP_Produzione_Grezzo.xlsx]CHARTS!PivotTable4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DISTRIBUZIONE DELLO SCARTO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958333333333334"/>
              <c:y val="-8.78081729145559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7.7083333333333337E-2"/>
              <c:y val="-0.108071597433299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0.13541666666666669"/>
              <c:y val="-6.1915304111951334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0.16875000000000001"/>
              <c:y val="8.105369807497467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0.14374999999999999"/>
              <c:y val="7.42992232353933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4270825131233597"/>
              <c:y val="3.71496116176967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064025590551178"/>
                  <c:h val="0.14594345919526017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CHARTS!$B$23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1E-4EC9-BAC0-4123F9F9D5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1E-4EC9-BAC0-4123F9F9D5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11E-4EC9-BAC0-4123F9F9D5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1E-4EC9-BAC0-4123F9F9D5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1E-4EC9-BAC0-4123F9F9D5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1E-4EC9-BAC0-4123F9F9D599}"/>
              </c:ext>
            </c:extLst>
          </c:dPt>
          <c:dLbls>
            <c:dLbl>
              <c:idx val="0"/>
              <c:layout>
                <c:manualLayout>
                  <c:x val="0.13958333333333334"/>
                  <c:y val="-8.78081729145559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1E-4EC9-BAC0-4123F9F9D599}"/>
                </c:ext>
              </c:extLst>
            </c:dLbl>
            <c:dLbl>
              <c:idx val="1"/>
              <c:layout>
                <c:manualLayout>
                  <c:x val="0.14270825131233597"/>
                  <c:y val="3.714961161769672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064025590551178"/>
                      <c:h val="0.14594345919526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11E-4EC9-BAC0-4123F9F9D599}"/>
                </c:ext>
              </c:extLst>
            </c:dLbl>
            <c:dLbl>
              <c:idx val="2"/>
              <c:layout>
                <c:manualLayout>
                  <c:x val="0.14374999999999999"/>
                  <c:y val="7.42992232353933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1E-4EC9-BAC0-4123F9F9D599}"/>
                </c:ext>
              </c:extLst>
            </c:dLbl>
            <c:dLbl>
              <c:idx val="3"/>
              <c:layout>
                <c:manualLayout>
                  <c:x val="-0.16875000000000001"/>
                  <c:y val="8.10536980749746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1E-4EC9-BAC0-4123F9F9D599}"/>
                </c:ext>
              </c:extLst>
            </c:dLbl>
            <c:dLbl>
              <c:idx val="4"/>
              <c:layout>
                <c:manualLayout>
                  <c:x val="-0.13541666666666669"/>
                  <c:y val="-6.1915304111951334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1E-4EC9-BAC0-4123F9F9D599}"/>
                </c:ext>
              </c:extLst>
            </c:dLbl>
            <c:dLbl>
              <c:idx val="5"/>
              <c:layout>
                <c:manualLayout>
                  <c:x val="-7.7083333333333337E-2"/>
                  <c:y val="-0.108071597433299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1E-4EC9-BAC0-4123F9F9D59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CHARTS!$A$24:$A$30</c:f>
              <c:strCache>
                <c:ptCount val="6"/>
                <c:pt idx="0">
                  <c:v>Difetto Materia Prima</c:v>
                </c:pt>
                <c:pt idx="1">
                  <c:v>Errore Set-up Macchina</c:v>
                </c:pt>
                <c:pt idx="2">
                  <c:v>Non Definito</c:v>
                </c:pt>
                <c:pt idx="3">
                  <c:v>Problema Saldatura/Smt</c:v>
                </c:pt>
                <c:pt idx="4">
                  <c:v>Tolleranza Fuori Limite</c:v>
                </c:pt>
                <c:pt idx="5">
                  <c:v>Usura Utensile</c:v>
                </c:pt>
              </c:strCache>
            </c:strRef>
          </c:cat>
          <c:val>
            <c:numRef>
              <c:f>CHARTS!$B$24:$B$30</c:f>
              <c:numCache>
                <c:formatCode>0</c:formatCode>
                <c:ptCount val="6"/>
                <c:pt idx="0">
                  <c:v>469</c:v>
                </c:pt>
                <c:pt idx="1">
                  <c:v>607</c:v>
                </c:pt>
                <c:pt idx="2">
                  <c:v>86</c:v>
                </c:pt>
                <c:pt idx="3">
                  <c:v>514</c:v>
                </c:pt>
                <c:pt idx="4">
                  <c:v>426</c:v>
                </c:pt>
                <c:pt idx="5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E-4EC9-BAC0-4123F9F9D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[Dump_ERP_Produzione_Grezzo.xlsx]CHARTS!PivotTable6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COST VARIANCE x PRODUCTION</a:t>
            </a:r>
            <a:r>
              <a:rPr lang="en-US" baseline="0"/>
              <a:t>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CHARTS!$I$6:$I$9</c:f>
              <c:strCache>
                <c:ptCount val="3"/>
                <c:pt idx="0">
                  <c:v>Linea 1 - Meccanica</c:v>
                </c:pt>
                <c:pt idx="1">
                  <c:v>Linea 2 - Assemblaggio</c:v>
                </c:pt>
                <c:pt idx="2">
                  <c:v>Linea 3 - Elettronica</c:v>
                </c:pt>
              </c:strCache>
            </c:strRef>
          </c:cat>
          <c:val>
            <c:numRef>
              <c:f>CHARTS!$J$6:$J$9</c:f>
              <c:numCache>
                <c:formatCode>0.00%</c:formatCode>
                <c:ptCount val="3"/>
                <c:pt idx="0">
                  <c:v>0.34627700332094263</c:v>
                </c:pt>
                <c:pt idx="1">
                  <c:v>0.36669567370882783</c:v>
                </c:pt>
                <c:pt idx="2">
                  <c:v>0.28702732297022959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D-429F-8712-8AFD0C5A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760671"/>
        <c:axId val="1917246895"/>
      </c:barChart>
      <c:catAx>
        <c:axId val="11607606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7246895"/>
        <c:crosses val="autoZero"/>
        <c:auto val="1"/>
        <c:lblAlgn val="ctr"/>
        <c:lblOffset val="100"/>
        <c:noMultiLvlLbl val="0"/>
      </c:catAx>
      <c:valAx>
        <c:axId val="191724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076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16</xdr:row>
      <xdr:rowOff>161925</xdr:rowOff>
    </xdr:from>
    <xdr:to>
      <xdr:col>12</xdr:col>
      <xdr:colOff>600075</xdr:colOff>
      <xdr:row>37</xdr:row>
      <xdr:rowOff>120015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309D6-26E7-853E-906F-DD0B55265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397192</xdr:colOff>
      <xdr:row>0</xdr:row>
      <xdr:rowOff>0</xdr:rowOff>
    </xdr:from>
    <xdr:to>
      <xdr:col>14</xdr:col>
      <xdr:colOff>400050</xdr:colOff>
      <xdr:row>16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0FCFBD-2A64-2E08-9BAA-90A3D5442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a Valenti" refreshedDate="46323.625372337963" createdVersion="8" refreshedVersion="8" minRefreshableVersion="3" recordCount="180" xr:uid="{D257EF50-6E48-46BD-B2BA-25F42701D937}">
  <cacheSource type="worksheet">
    <worksheetSource name="TOT_PRODUZIONE"/>
  </cacheSource>
  <cacheFields count="15">
    <cacheField name="ID_ORDINE_PROD" numFmtId="49">
      <sharedItems/>
    </cacheField>
    <cacheField name="DATA_INIZIO_PROG" numFmtId="14">
      <sharedItems containsSemiMixedTypes="0" containsNonDate="0" containsDate="1" containsString="0" minDate="2026-07-01T00:00:00" maxDate="2026-12-01T00:00:00"/>
    </cacheField>
    <cacheField name="LINEA_PRODUZIONE" numFmtId="49">
      <sharedItems count="3">
        <s v="Linea 2 - Assemblaggio"/>
        <s v="Linea 1 - Meccanica"/>
        <s v="Linea 3 - Elettronica"/>
      </sharedItems>
    </cacheField>
    <cacheField name="CODICE_ARTICOLO" numFmtId="49">
      <sharedItems count="9">
        <s v="ART-MEC-01"/>
        <s v="ART-ASS-01"/>
        <s v="ART-ELE-02"/>
        <s v="ART-ELE-01"/>
        <s v="ART-ASS-03"/>
        <s v="ART-MEC-03"/>
        <s v="ART-ELE-03"/>
        <s v="ART-ASS-02"/>
        <s v="ART-MEC-02"/>
      </sharedItems>
    </cacheField>
    <cacheField name="DESCRIZIONE_ARTICOLO" numFmtId="49">
      <sharedItems count="9">
        <s v="Albero di Trasmissione Precisione"/>
        <s v="Gruppo Valvola Idraulica Completa"/>
        <s v="Sensore di Pressione Digitale High-Temp"/>
        <s v="Scheda Controllo Inverter 400V"/>
        <s v="Modulo Riduttore Epicroidale"/>
        <s v="Flangia Acciaio Inox 120mm"/>
        <s v="Quadro Comando Touch 10'' Industrial"/>
        <s v="Attuatore Pneumatico Bi-Stadio"/>
        <s v="Ingranaggio Elicoidale Z45"/>
      </sharedItems>
    </cacheField>
    <cacheField name="QTA_LOTTO" numFmtId="1">
      <sharedItems containsSemiMixedTypes="0" containsString="0" containsNumber="1" containsInteger="1" minValue="100" maxValue="1000"/>
    </cacheField>
    <cacheField name="QTA_PRODOTTA_EFF" numFmtId="1">
      <sharedItems containsSemiMixedTypes="0" containsString="0" containsNumber="1" containsInteger="1" minValue="76" maxValue="996"/>
    </cacheField>
    <cacheField name="QTA_SCARTO" numFmtId="1">
      <sharedItems containsSemiMixedTypes="0" containsString="0" containsNumber="1" containsInteger="1" minValue="2" maxValue="80"/>
    </cacheField>
    <cacheField name="COSTO_STD_UNITARIO" numFmtId="165">
      <sharedItems containsSemiMixedTypes="0" containsString="0" containsNumber="1" containsInteger="1" minValue="28" maxValue="340"/>
    </cacheField>
    <cacheField name="COSTO_EFF_UNITARIO" numFmtId="165">
      <sharedItems containsSemiMixedTypes="0" containsString="0" containsNumber="1" minValue="25.18" maxValue="358.19"/>
    </cacheField>
    <cacheField name="CAUSALE_SCARTO" numFmtId="49">
      <sharedItems count="6">
        <s v="Tolleranza Fuori Limite"/>
        <s v="Usura Utensile"/>
        <s v="Difetto Materia Prima"/>
        <s v="Non Definito"/>
        <s v="Problema Saldatura/Smt"/>
        <s v="Errore Set-up Macchina"/>
      </sharedItems>
    </cacheField>
    <cacheField name="TOT_STD_COST (€)" numFmtId="165">
      <sharedItems containsSemiMixedTypes="0" containsString="0" containsNumber="1" containsInteger="1" minValue="2800" maxValue="340000"/>
    </cacheField>
    <cacheField name="TOT_EFF_COST (€)" numFmtId="165">
      <sharedItems containsSemiMixedTypes="0" containsString="0" containsNumber="1" minValue="2152.08" maxValue="355603.5"/>
    </cacheField>
    <cacheField name="Scostamento dei Costi / Cost Variance (€)" numFmtId="165">
      <sharedItems containsSemiMixedTypes="0" containsString="0" containsNumber="1" minValue="-13859.599999999991" maxValue="15603.5"/>
    </cacheField>
    <cacheField name="Tasso di Scarto / Scrap Rate (%):" numFmtId="10">
      <sharedItems containsSemiMixedTypes="0" containsString="0" containsNumber="1" minValue="4.0000000000000001E-3" maxValue="0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ODP-2026-1114"/>
    <d v="2026-10-04T00:00:00"/>
    <x v="0"/>
    <x v="0"/>
    <x v="0"/>
    <n v="100"/>
    <n v="80"/>
    <n v="20"/>
    <n v="45"/>
    <n v="41.65"/>
    <x v="0"/>
    <n v="4500"/>
    <n v="3332"/>
    <n v="-1168"/>
    <n v="0.2"/>
  </r>
  <r>
    <s v="ODP-2026-1165"/>
    <d v="2026-11-17T00:00:00"/>
    <x v="0"/>
    <x v="1"/>
    <x v="1"/>
    <n v="150"/>
    <n v="148"/>
    <n v="2"/>
    <n v="120"/>
    <n v="117.05"/>
    <x v="1"/>
    <n v="18000"/>
    <n v="17323.399999999998"/>
    <n v="-676.60000000000218"/>
    <n v="1.3333333333333334E-2"/>
  </r>
  <r>
    <s v="ODP-2026-1170"/>
    <d v="2026-11-21T00:00:00"/>
    <x v="0"/>
    <x v="1"/>
    <x v="1"/>
    <n v="100"/>
    <n v="90"/>
    <n v="10"/>
    <n v="120"/>
    <n v="116.87"/>
    <x v="2"/>
    <n v="12000"/>
    <n v="10518.300000000001"/>
    <n v="-1481.6999999999989"/>
    <n v="0.1"/>
  </r>
  <r>
    <s v="ODP-2026-1102"/>
    <d v="2026-09-24T00:00:00"/>
    <x v="1"/>
    <x v="2"/>
    <x v="2"/>
    <n v="150"/>
    <n v="130"/>
    <n v="20"/>
    <n v="65"/>
    <n v="61.71"/>
    <x v="3"/>
    <n v="9750"/>
    <n v="8022.3"/>
    <n v="-1727.6999999999998"/>
    <n v="0.13333333333333333"/>
  </r>
  <r>
    <s v="ODP-2026-1101"/>
    <d v="2026-09-23T00:00:00"/>
    <x v="2"/>
    <x v="3"/>
    <x v="3"/>
    <n v="500"/>
    <n v="493"/>
    <n v="7"/>
    <n v="210"/>
    <n v="203.19"/>
    <x v="2"/>
    <n v="105000"/>
    <n v="100172.67"/>
    <n v="-4827.3300000000017"/>
    <n v="1.4E-2"/>
  </r>
  <r>
    <s v="ODP-2026-1016"/>
    <d v="2026-07-13T00:00:00"/>
    <x v="2"/>
    <x v="1"/>
    <x v="1"/>
    <n v="1000"/>
    <n v="920"/>
    <n v="80"/>
    <n v="120"/>
    <n v="115.37"/>
    <x v="4"/>
    <n v="120000"/>
    <n v="106140.40000000001"/>
    <n v="-13859.599999999991"/>
    <n v="0.08"/>
  </r>
  <r>
    <s v="ODP-2026-1178"/>
    <d v="2026-11-28T00:00:00"/>
    <x v="0"/>
    <x v="4"/>
    <x v="4"/>
    <n v="500"/>
    <n v="485"/>
    <n v="15"/>
    <n v="150"/>
    <n v="144.9"/>
    <x v="0"/>
    <n v="75000"/>
    <n v="70276.5"/>
    <n v="-4723.5"/>
    <n v="0.03"/>
  </r>
  <r>
    <s v="ODP-2026-1036"/>
    <d v="2026-07-30T00:00:00"/>
    <x v="2"/>
    <x v="5"/>
    <x v="5"/>
    <n v="500"/>
    <n v="484"/>
    <n v="16"/>
    <n v="35"/>
    <n v="38.08"/>
    <x v="2"/>
    <n v="17500"/>
    <n v="18430.719999999998"/>
    <n v="930.71999999999753"/>
    <n v="3.2000000000000001E-2"/>
  </r>
  <r>
    <s v="ODP-2026-1120"/>
    <d v="2026-10-10T00:00:00"/>
    <x v="1"/>
    <x v="5"/>
    <x v="5"/>
    <n v="200"/>
    <n v="184"/>
    <n v="16"/>
    <n v="35"/>
    <n v="38.58"/>
    <x v="2"/>
    <n v="7000"/>
    <n v="7098.7199999999993"/>
    <n v="98.719999999999345"/>
    <n v="0.08"/>
  </r>
  <r>
    <s v="ODP-2026-1153"/>
    <d v="2026-11-07T00:00:00"/>
    <x v="2"/>
    <x v="0"/>
    <x v="0"/>
    <n v="200"/>
    <n v="182"/>
    <n v="18"/>
    <n v="45"/>
    <n v="43.96"/>
    <x v="2"/>
    <n v="9000"/>
    <n v="8000.72"/>
    <n v="-999.27999999999975"/>
    <n v="0.09"/>
  </r>
  <r>
    <s v="ODP-2026-1025"/>
    <d v="2026-07-21T00:00:00"/>
    <x v="2"/>
    <x v="0"/>
    <x v="0"/>
    <n v="200"/>
    <n v="196"/>
    <n v="4"/>
    <n v="45"/>
    <n v="45.49"/>
    <x v="5"/>
    <n v="9000"/>
    <n v="8916.0400000000009"/>
    <n v="-83.959999999999127"/>
    <n v="0.02"/>
  </r>
  <r>
    <s v="ODP-2026-1077"/>
    <d v="2026-09-03T00:00:00"/>
    <x v="2"/>
    <x v="6"/>
    <x v="6"/>
    <n v="250"/>
    <n v="228"/>
    <n v="22"/>
    <n v="340"/>
    <n v="354.02"/>
    <x v="5"/>
    <n v="85000"/>
    <n v="80716.56"/>
    <n v="-4283.4400000000023"/>
    <n v="8.7999999999999995E-2"/>
  </r>
  <r>
    <s v="ODP-2026-1157"/>
    <d v="2026-11-10T00:00:00"/>
    <x v="1"/>
    <x v="5"/>
    <x v="5"/>
    <n v="300"/>
    <n v="285"/>
    <n v="15"/>
    <n v="35"/>
    <n v="40.44"/>
    <x v="4"/>
    <n v="10500"/>
    <n v="11525.4"/>
    <n v="1025.3999999999996"/>
    <n v="0.05"/>
  </r>
  <r>
    <s v="ODP-2026-1119"/>
    <d v="2026-10-09T00:00:00"/>
    <x v="1"/>
    <x v="4"/>
    <x v="4"/>
    <n v="150"/>
    <n v="137"/>
    <n v="13"/>
    <n v="150"/>
    <n v="144.91999999999999"/>
    <x v="5"/>
    <n v="22500"/>
    <n v="19854.039999999997"/>
    <n v="-2645.9600000000028"/>
    <n v="8.666666666666667E-2"/>
  </r>
  <r>
    <s v="ODP-2026-1069"/>
    <d v="2026-08-27T00:00:00"/>
    <x v="1"/>
    <x v="1"/>
    <x v="1"/>
    <n v="150"/>
    <n v="129"/>
    <n v="21"/>
    <n v="120"/>
    <n v="113.38"/>
    <x v="0"/>
    <n v="18000"/>
    <n v="14626.019999999999"/>
    <n v="-3373.9800000000014"/>
    <n v="0.14000000000000001"/>
  </r>
  <r>
    <s v="ODP-2026-1017"/>
    <d v="2026-07-14T00:00:00"/>
    <x v="1"/>
    <x v="2"/>
    <x v="2"/>
    <n v="100"/>
    <n v="85"/>
    <n v="15"/>
    <n v="65"/>
    <n v="61.83"/>
    <x v="2"/>
    <n v="6500"/>
    <n v="5255.55"/>
    <n v="-1244.4499999999998"/>
    <n v="0.15"/>
  </r>
  <r>
    <s v="ODP-2026-1123"/>
    <d v="2026-10-12T00:00:00"/>
    <x v="1"/>
    <x v="5"/>
    <x v="5"/>
    <n v="300"/>
    <n v="293"/>
    <n v="7"/>
    <n v="35"/>
    <n v="40.6"/>
    <x v="0"/>
    <n v="10500"/>
    <n v="11895.800000000001"/>
    <n v="1395.8000000000011"/>
    <n v="2.3333333333333334E-2"/>
  </r>
  <r>
    <s v="ODP-2026-1031"/>
    <d v="2026-07-26T00:00:00"/>
    <x v="2"/>
    <x v="5"/>
    <x v="5"/>
    <n v="200"/>
    <n v="184"/>
    <n v="16"/>
    <n v="35"/>
    <n v="39.93"/>
    <x v="1"/>
    <n v="7000"/>
    <n v="7347.12"/>
    <n v="347.11999999999989"/>
    <n v="0.08"/>
  </r>
  <r>
    <s v="ODP-2026-1137"/>
    <d v="2026-10-24T00:00:00"/>
    <x v="0"/>
    <x v="0"/>
    <x v="0"/>
    <n v="500"/>
    <n v="487"/>
    <n v="13"/>
    <n v="45"/>
    <n v="44.94"/>
    <x v="2"/>
    <n v="22500"/>
    <n v="21885.78"/>
    <n v="-614.22000000000116"/>
    <n v="2.5999999999999999E-2"/>
  </r>
  <r>
    <s v="ODP-2026-1020"/>
    <d v="2026-07-17T00:00:00"/>
    <x v="0"/>
    <x v="0"/>
    <x v="0"/>
    <n v="150"/>
    <n v="147"/>
    <n v="3"/>
    <n v="45"/>
    <n v="40.92"/>
    <x v="1"/>
    <n v="6750"/>
    <n v="6015.2400000000007"/>
    <n v="-734.75999999999931"/>
    <n v="0.02"/>
  </r>
  <r>
    <s v="ODP-2026-1076"/>
    <d v="2026-09-02T00:00:00"/>
    <x v="1"/>
    <x v="5"/>
    <x v="5"/>
    <n v="150"/>
    <n v="138"/>
    <n v="12"/>
    <n v="35"/>
    <n v="36.909999999999997"/>
    <x v="2"/>
    <n v="5250"/>
    <n v="5093.58"/>
    <n v="-156.42000000000007"/>
    <n v="0.08"/>
  </r>
  <r>
    <s v="ODP-2026-1116"/>
    <d v="2026-10-06T00:00:00"/>
    <x v="2"/>
    <x v="6"/>
    <x v="6"/>
    <n v="250"/>
    <n v="248"/>
    <n v="2"/>
    <n v="340"/>
    <n v="355.19"/>
    <x v="2"/>
    <n v="85000"/>
    <n v="88087.12"/>
    <n v="3087.1199999999953"/>
    <n v="8.0000000000000002E-3"/>
  </r>
  <r>
    <s v="ODP-2026-1127"/>
    <d v="2026-10-15T00:00:00"/>
    <x v="1"/>
    <x v="1"/>
    <x v="1"/>
    <n v="150"/>
    <n v="136"/>
    <n v="14"/>
    <n v="120"/>
    <n v="115.9"/>
    <x v="2"/>
    <n v="18000"/>
    <n v="15762.400000000001"/>
    <n v="-2237.5999999999985"/>
    <n v="9.3333333333333338E-2"/>
  </r>
  <r>
    <s v="ODP-2026-1148"/>
    <d v="2026-11-02T00:00:00"/>
    <x v="1"/>
    <x v="1"/>
    <x v="1"/>
    <n v="500"/>
    <n v="488"/>
    <n v="12"/>
    <n v="120"/>
    <n v="116.27"/>
    <x v="1"/>
    <n v="60000"/>
    <n v="56739.759999999995"/>
    <n v="-3260.2400000000052"/>
    <n v="2.4E-2"/>
  </r>
  <r>
    <s v="ODP-2026-1070"/>
    <d v="2026-08-28T00:00:00"/>
    <x v="0"/>
    <x v="6"/>
    <x v="6"/>
    <n v="150"/>
    <n v="147"/>
    <n v="3"/>
    <n v="340"/>
    <n v="353.43"/>
    <x v="1"/>
    <n v="51000"/>
    <n v="51954.21"/>
    <n v="954.20999999999913"/>
    <n v="0.02"/>
  </r>
  <r>
    <s v="ODP-2026-1010"/>
    <d v="2026-07-08T00:00:00"/>
    <x v="1"/>
    <x v="7"/>
    <x v="7"/>
    <n v="300"/>
    <n v="291"/>
    <n v="9"/>
    <n v="85"/>
    <n v="88.95"/>
    <x v="2"/>
    <n v="25500"/>
    <n v="25884.45"/>
    <n v="384.45000000000073"/>
    <n v="0.03"/>
  </r>
  <r>
    <s v="ODP-2026-1129"/>
    <d v="2026-10-17T00:00:00"/>
    <x v="0"/>
    <x v="6"/>
    <x v="6"/>
    <n v="250"/>
    <n v="246"/>
    <n v="4"/>
    <n v="340"/>
    <n v="355.65"/>
    <x v="2"/>
    <n v="85000"/>
    <n v="87489.9"/>
    <n v="2489.8999999999942"/>
    <n v="1.6E-2"/>
  </r>
  <r>
    <s v="ODP-2026-1138"/>
    <d v="2026-10-25T00:00:00"/>
    <x v="0"/>
    <x v="4"/>
    <x v="4"/>
    <n v="200"/>
    <n v="197"/>
    <n v="3"/>
    <n v="150"/>
    <n v="145.9"/>
    <x v="5"/>
    <n v="30000"/>
    <n v="28742.300000000003"/>
    <n v="-1257.6999999999971"/>
    <n v="1.4999999999999999E-2"/>
  </r>
  <r>
    <s v="ODP-2026-1006"/>
    <d v="2026-07-05T00:00:00"/>
    <x v="2"/>
    <x v="1"/>
    <x v="1"/>
    <n v="500"/>
    <n v="483"/>
    <n v="17"/>
    <n v="120"/>
    <n v="116.43"/>
    <x v="1"/>
    <n v="60000"/>
    <n v="56235.69"/>
    <n v="-3764.3099999999977"/>
    <n v="3.4000000000000002E-2"/>
  </r>
  <r>
    <s v="ODP-2026-1166"/>
    <d v="2026-11-18T00:00:00"/>
    <x v="2"/>
    <x v="2"/>
    <x v="2"/>
    <n v="300"/>
    <n v="276"/>
    <n v="24"/>
    <n v="65"/>
    <n v="64.66"/>
    <x v="4"/>
    <n v="19500"/>
    <n v="17846.16"/>
    <n v="-1653.8400000000001"/>
    <n v="0.08"/>
  </r>
  <r>
    <s v="ODP-2026-1177"/>
    <d v="2026-11-27T00:00:00"/>
    <x v="2"/>
    <x v="5"/>
    <x v="5"/>
    <n v="100"/>
    <n v="80"/>
    <n v="20"/>
    <n v="35"/>
    <n v="40.57"/>
    <x v="5"/>
    <n v="3500"/>
    <n v="3245.6"/>
    <n v="-254.40000000000009"/>
    <n v="0.2"/>
  </r>
  <r>
    <s v="ODP-2026-1172"/>
    <d v="2026-11-23T00:00:00"/>
    <x v="0"/>
    <x v="0"/>
    <x v="0"/>
    <n v="100"/>
    <n v="85"/>
    <n v="15"/>
    <n v="45"/>
    <n v="43.44"/>
    <x v="5"/>
    <n v="4500"/>
    <n v="3692.3999999999996"/>
    <n v="-807.60000000000036"/>
    <n v="0.15"/>
  </r>
  <r>
    <s v="ODP-2026-1112"/>
    <d v="2026-10-03T00:00:00"/>
    <x v="2"/>
    <x v="4"/>
    <x v="4"/>
    <n v="100"/>
    <n v="77"/>
    <n v="23"/>
    <n v="150"/>
    <n v="145.94"/>
    <x v="4"/>
    <n v="15000"/>
    <n v="11237.38"/>
    <n v="-3762.6200000000008"/>
    <n v="0.23"/>
  </r>
  <r>
    <s v="ODP-2026-1046"/>
    <d v="2026-08-08T00:00:00"/>
    <x v="1"/>
    <x v="6"/>
    <x v="6"/>
    <n v="300"/>
    <n v="276"/>
    <n v="24"/>
    <n v="340"/>
    <n v="356.11"/>
    <x v="1"/>
    <n v="102000"/>
    <n v="98286.36"/>
    <n v="-3713.6399999999994"/>
    <n v="0.08"/>
  </r>
  <r>
    <s v="ODP-2026-1068"/>
    <d v="2026-08-26T00:00:00"/>
    <x v="0"/>
    <x v="0"/>
    <x v="0"/>
    <n v="1000"/>
    <n v="993"/>
    <n v="7"/>
    <n v="45"/>
    <n v="42.06"/>
    <x v="3"/>
    <n v="45000"/>
    <n v="41765.58"/>
    <n v="-3234.4199999999983"/>
    <n v="7.0000000000000001E-3"/>
  </r>
  <r>
    <s v="ODP-2026-1162"/>
    <d v="2026-11-14T00:00:00"/>
    <x v="1"/>
    <x v="2"/>
    <x v="2"/>
    <n v="300"/>
    <n v="287"/>
    <n v="13"/>
    <n v="65"/>
    <n v="61.78"/>
    <x v="5"/>
    <n v="19500"/>
    <n v="17730.86"/>
    <n v="-1769.1399999999994"/>
    <n v="4.3333333333333335E-2"/>
  </r>
  <r>
    <s v="ODP-2026-1030"/>
    <d v="2026-07-25T00:00:00"/>
    <x v="0"/>
    <x v="8"/>
    <x v="8"/>
    <n v="100"/>
    <n v="84"/>
    <n v="16"/>
    <n v="28"/>
    <n v="25.62"/>
    <x v="5"/>
    <n v="2800"/>
    <n v="2152.08"/>
    <n v="-647.92000000000007"/>
    <n v="0.16"/>
  </r>
  <r>
    <s v="ODP-2026-1124"/>
    <d v="2026-10-13T00:00:00"/>
    <x v="2"/>
    <x v="3"/>
    <x v="3"/>
    <n v="250"/>
    <n v="244"/>
    <n v="6"/>
    <n v="210"/>
    <n v="206.23"/>
    <x v="4"/>
    <n v="52500"/>
    <n v="50320.119999999995"/>
    <n v="-2179.8800000000047"/>
    <n v="2.4E-2"/>
  </r>
  <r>
    <s v="ODP-2026-1136"/>
    <d v="2026-10-23T00:00:00"/>
    <x v="2"/>
    <x v="2"/>
    <x v="2"/>
    <n v="300"/>
    <n v="276"/>
    <n v="24"/>
    <n v="65"/>
    <n v="61.5"/>
    <x v="5"/>
    <n v="19500"/>
    <n v="16974"/>
    <n v="-2526"/>
    <n v="0.08"/>
  </r>
  <r>
    <s v="ODP-2026-1151"/>
    <d v="2026-11-05T00:00:00"/>
    <x v="0"/>
    <x v="6"/>
    <x v="6"/>
    <n v="100"/>
    <n v="92"/>
    <n v="8"/>
    <n v="340"/>
    <n v="357.88"/>
    <x v="0"/>
    <n v="34000"/>
    <n v="32924.959999999999"/>
    <n v="-1075.0400000000009"/>
    <n v="0.08"/>
  </r>
  <r>
    <s v="ODP-2026-1032"/>
    <d v="2026-07-27T00:00:00"/>
    <x v="0"/>
    <x v="3"/>
    <x v="3"/>
    <n v="1000"/>
    <n v="981"/>
    <n v="19"/>
    <n v="210"/>
    <n v="205.72"/>
    <x v="2"/>
    <n v="210000"/>
    <n v="201811.32"/>
    <n v="-8188.679999999993"/>
    <n v="1.9E-2"/>
  </r>
  <r>
    <s v="ODP-2026-1013"/>
    <d v="2026-07-11T00:00:00"/>
    <x v="0"/>
    <x v="3"/>
    <x v="3"/>
    <n v="500"/>
    <n v="479"/>
    <n v="21"/>
    <n v="210"/>
    <n v="203.37"/>
    <x v="3"/>
    <n v="105000"/>
    <n v="97414.23"/>
    <n v="-7585.7700000000041"/>
    <n v="4.2000000000000003E-2"/>
  </r>
  <r>
    <s v="ODP-2026-1042"/>
    <d v="2026-08-04T00:00:00"/>
    <x v="2"/>
    <x v="2"/>
    <x v="2"/>
    <n v="500"/>
    <n v="492"/>
    <n v="8"/>
    <n v="65"/>
    <n v="62.25"/>
    <x v="0"/>
    <n v="32500"/>
    <n v="30627"/>
    <n v="-1873"/>
    <n v="1.6E-2"/>
  </r>
  <r>
    <s v="ODP-2026-1052"/>
    <d v="2026-08-13T00:00:00"/>
    <x v="1"/>
    <x v="0"/>
    <x v="0"/>
    <n v="100"/>
    <n v="86"/>
    <n v="14"/>
    <n v="45"/>
    <n v="41.25"/>
    <x v="2"/>
    <n v="4500"/>
    <n v="3547.5"/>
    <n v="-952.5"/>
    <n v="0.14000000000000001"/>
  </r>
  <r>
    <s v="ODP-2026-1057"/>
    <d v="2026-08-17T00:00:00"/>
    <x v="2"/>
    <x v="3"/>
    <x v="3"/>
    <n v="100"/>
    <n v="77"/>
    <n v="23"/>
    <n v="210"/>
    <n v="203.77"/>
    <x v="5"/>
    <n v="21000"/>
    <n v="15690.29"/>
    <n v="-5309.7099999999991"/>
    <n v="0.23"/>
  </r>
  <r>
    <s v="ODP-2026-1094"/>
    <d v="2026-09-17T00:00:00"/>
    <x v="2"/>
    <x v="7"/>
    <x v="7"/>
    <n v="150"/>
    <n v="129"/>
    <n v="21"/>
    <n v="85"/>
    <n v="92.05"/>
    <x v="2"/>
    <n v="12750"/>
    <n v="11874.449999999999"/>
    <n v="-875.55000000000109"/>
    <n v="0.14000000000000001"/>
  </r>
  <r>
    <s v="ODP-2026-1091"/>
    <d v="2026-09-15T00:00:00"/>
    <x v="0"/>
    <x v="3"/>
    <x v="3"/>
    <n v="300"/>
    <n v="276"/>
    <n v="24"/>
    <n v="210"/>
    <n v="208.08"/>
    <x v="5"/>
    <n v="63000"/>
    <n v="57430.080000000002"/>
    <n v="-5569.9199999999983"/>
    <n v="0.08"/>
  </r>
  <r>
    <s v="ODP-2026-1067"/>
    <d v="2026-08-26T00:00:00"/>
    <x v="1"/>
    <x v="0"/>
    <x v="0"/>
    <n v="1000"/>
    <n v="994"/>
    <n v="6"/>
    <n v="45"/>
    <n v="44.24"/>
    <x v="4"/>
    <n v="45000"/>
    <n v="43974.560000000005"/>
    <n v="-1025.4399999999951"/>
    <n v="6.0000000000000001E-3"/>
  </r>
  <r>
    <s v="ODP-2026-1039"/>
    <d v="2026-08-02T00:00:00"/>
    <x v="1"/>
    <x v="1"/>
    <x v="1"/>
    <n v="300"/>
    <n v="289"/>
    <n v="11"/>
    <n v="120"/>
    <n v="115.76"/>
    <x v="4"/>
    <n v="36000"/>
    <n v="33454.639999999999"/>
    <n v="-2545.3600000000006"/>
    <n v="3.6666666666666667E-2"/>
  </r>
  <r>
    <s v="ODP-2026-1056"/>
    <d v="2026-08-16T00:00:00"/>
    <x v="0"/>
    <x v="0"/>
    <x v="0"/>
    <n v="500"/>
    <n v="484"/>
    <n v="16"/>
    <n v="45"/>
    <n v="45.02"/>
    <x v="5"/>
    <n v="22500"/>
    <n v="21789.68"/>
    <n v="-710.31999999999971"/>
    <n v="3.2000000000000001E-2"/>
  </r>
  <r>
    <s v="ODP-2026-1099"/>
    <d v="2026-09-22T00:00:00"/>
    <x v="1"/>
    <x v="0"/>
    <x v="0"/>
    <n v="250"/>
    <n v="227"/>
    <n v="23"/>
    <n v="45"/>
    <n v="43.18"/>
    <x v="0"/>
    <n v="11250"/>
    <n v="9801.86"/>
    <n v="-1448.1399999999994"/>
    <n v="9.1999999999999998E-2"/>
  </r>
  <r>
    <s v="ODP-2026-1154"/>
    <d v="2026-11-07T00:00:00"/>
    <x v="0"/>
    <x v="7"/>
    <x v="7"/>
    <n v="200"/>
    <n v="194"/>
    <n v="6"/>
    <n v="85"/>
    <n v="91.43"/>
    <x v="0"/>
    <n v="17000"/>
    <n v="17737.420000000002"/>
    <n v="737.42000000000189"/>
    <n v="0.03"/>
  </r>
  <r>
    <s v="ODP-2026-1097"/>
    <d v="2026-09-20T00:00:00"/>
    <x v="2"/>
    <x v="8"/>
    <x v="8"/>
    <n v="1000"/>
    <n v="984"/>
    <n v="16"/>
    <n v="28"/>
    <n v="29.52"/>
    <x v="2"/>
    <n v="28000"/>
    <n v="29047.68"/>
    <n v="1047.6800000000003"/>
    <n v="1.6E-2"/>
  </r>
  <r>
    <s v="ODP-2026-1003"/>
    <d v="2026-07-02T00:00:00"/>
    <x v="1"/>
    <x v="7"/>
    <x v="7"/>
    <n v="100"/>
    <n v="77"/>
    <n v="23"/>
    <n v="85"/>
    <n v="89.49"/>
    <x v="0"/>
    <n v="8500"/>
    <n v="6890.73"/>
    <n v="-1609.2700000000004"/>
    <n v="0.23"/>
  </r>
  <r>
    <s v="ODP-2026-1113"/>
    <d v="2026-10-04T00:00:00"/>
    <x v="0"/>
    <x v="1"/>
    <x v="1"/>
    <n v="500"/>
    <n v="495"/>
    <n v="5"/>
    <n v="120"/>
    <n v="114.01"/>
    <x v="1"/>
    <n v="60000"/>
    <n v="56434.950000000004"/>
    <n v="-3565.0499999999956"/>
    <n v="0.01"/>
  </r>
  <r>
    <s v="ODP-2026-1047"/>
    <d v="2026-08-09T00:00:00"/>
    <x v="0"/>
    <x v="1"/>
    <x v="1"/>
    <n v="300"/>
    <n v="279"/>
    <n v="21"/>
    <n v="120"/>
    <n v="116.94"/>
    <x v="4"/>
    <n v="36000"/>
    <n v="32626.26"/>
    <n v="-3373.7400000000016"/>
    <n v="7.0000000000000007E-2"/>
  </r>
  <r>
    <s v="ODP-2026-1066"/>
    <d v="2026-08-25T00:00:00"/>
    <x v="1"/>
    <x v="6"/>
    <x v="6"/>
    <n v="250"/>
    <n v="240"/>
    <n v="10"/>
    <n v="340"/>
    <n v="356.58"/>
    <x v="4"/>
    <n v="85000"/>
    <n v="85579.199999999997"/>
    <n v="579.19999999999709"/>
    <n v="0.04"/>
  </r>
  <r>
    <s v="ODP-2026-1061"/>
    <d v="2026-08-20T00:00:00"/>
    <x v="1"/>
    <x v="0"/>
    <x v="0"/>
    <n v="250"/>
    <n v="230"/>
    <n v="20"/>
    <n v="45"/>
    <n v="43.26"/>
    <x v="0"/>
    <n v="11250"/>
    <n v="9949.7999999999993"/>
    <n v="-1300.2000000000007"/>
    <n v="0.08"/>
  </r>
  <r>
    <s v="ODP-2026-1019"/>
    <d v="2026-07-16T00:00:00"/>
    <x v="1"/>
    <x v="5"/>
    <x v="5"/>
    <n v="300"/>
    <n v="285"/>
    <n v="15"/>
    <n v="35"/>
    <n v="39.82"/>
    <x v="0"/>
    <n v="10500"/>
    <n v="11348.7"/>
    <n v="848.70000000000073"/>
    <n v="0.05"/>
  </r>
  <r>
    <s v="ODP-2026-1179"/>
    <d v="2026-11-29T00:00:00"/>
    <x v="1"/>
    <x v="8"/>
    <x v="8"/>
    <n v="150"/>
    <n v="145"/>
    <n v="5"/>
    <n v="28"/>
    <n v="28.76"/>
    <x v="4"/>
    <n v="4200"/>
    <n v="4170.2"/>
    <n v="-29.800000000000182"/>
    <n v="3.3333333333333333E-2"/>
  </r>
  <r>
    <s v="ODP-2026-1027"/>
    <d v="2026-07-23T00:00:00"/>
    <x v="1"/>
    <x v="2"/>
    <x v="2"/>
    <n v="300"/>
    <n v="276"/>
    <n v="24"/>
    <n v="65"/>
    <n v="63.89"/>
    <x v="0"/>
    <n v="19500"/>
    <n v="17633.64"/>
    <n v="-1866.3600000000006"/>
    <n v="0.08"/>
  </r>
  <r>
    <s v="ODP-2026-1160"/>
    <d v="2026-11-13T00:00:00"/>
    <x v="2"/>
    <x v="2"/>
    <x v="2"/>
    <n v="200"/>
    <n v="190"/>
    <n v="10"/>
    <n v="65"/>
    <n v="60.78"/>
    <x v="4"/>
    <n v="13000"/>
    <n v="11548.2"/>
    <n v="-1451.7999999999993"/>
    <n v="0.05"/>
  </r>
  <r>
    <s v="ODP-2026-1105"/>
    <d v="2026-09-27T00:00:00"/>
    <x v="2"/>
    <x v="8"/>
    <x v="8"/>
    <n v="500"/>
    <n v="488"/>
    <n v="12"/>
    <n v="28"/>
    <n v="25.71"/>
    <x v="4"/>
    <n v="14000"/>
    <n v="12546.48"/>
    <n v="-1453.5200000000004"/>
    <n v="2.4E-2"/>
  </r>
  <r>
    <s v="ODP-2026-1118"/>
    <d v="2026-10-08T00:00:00"/>
    <x v="2"/>
    <x v="1"/>
    <x v="1"/>
    <n v="1000"/>
    <n v="982"/>
    <n v="18"/>
    <n v="120"/>
    <n v="117.4"/>
    <x v="2"/>
    <n v="120000"/>
    <n v="115286.8"/>
    <n v="-4713.1999999999971"/>
    <n v="1.7999999999999999E-2"/>
  </r>
  <r>
    <s v="ODP-2026-1037"/>
    <d v="2026-07-31T00:00:00"/>
    <x v="1"/>
    <x v="6"/>
    <x v="6"/>
    <n v="250"/>
    <n v="226"/>
    <n v="24"/>
    <n v="340"/>
    <n v="355.51"/>
    <x v="5"/>
    <n v="85000"/>
    <n v="80345.259999999995"/>
    <n v="-4654.7400000000052"/>
    <n v="9.6000000000000002E-2"/>
  </r>
  <r>
    <s v="ODP-2026-1125"/>
    <d v="2026-10-14T00:00:00"/>
    <x v="0"/>
    <x v="5"/>
    <x v="5"/>
    <n v="150"/>
    <n v="138"/>
    <n v="12"/>
    <n v="35"/>
    <n v="37.619999999999997"/>
    <x v="2"/>
    <n v="5250"/>
    <n v="5191.5599999999995"/>
    <n v="-58.440000000000509"/>
    <n v="0.08"/>
  </r>
  <r>
    <s v="ODP-2026-1023"/>
    <d v="2026-07-19T00:00:00"/>
    <x v="2"/>
    <x v="7"/>
    <x v="7"/>
    <n v="500"/>
    <n v="480"/>
    <n v="20"/>
    <n v="85"/>
    <n v="91.08"/>
    <x v="4"/>
    <n v="42500"/>
    <n v="43718.400000000001"/>
    <n v="1218.4000000000015"/>
    <n v="0.04"/>
  </r>
  <r>
    <s v="ODP-2026-1149"/>
    <d v="2026-11-03T00:00:00"/>
    <x v="2"/>
    <x v="6"/>
    <x v="6"/>
    <n v="250"/>
    <n v="234"/>
    <n v="16"/>
    <n v="340"/>
    <n v="354.87"/>
    <x v="0"/>
    <n v="85000"/>
    <n v="83039.58"/>
    <n v="-1960.4199999999983"/>
    <n v="6.4000000000000001E-2"/>
  </r>
  <r>
    <s v="ODP-2026-1079"/>
    <d v="2026-09-05T00:00:00"/>
    <x v="2"/>
    <x v="1"/>
    <x v="1"/>
    <n v="500"/>
    <n v="493"/>
    <n v="7"/>
    <n v="120"/>
    <n v="114.83"/>
    <x v="1"/>
    <n v="60000"/>
    <n v="56611.19"/>
    <n v="-3388.8099999999977"/>
    <n v="1.4E-2"/>
  </r>
  <r>
    <s v="ODP-2026-1175"/>
    <d v="2026-11-25T00:00:00"/>
    <x v="0"/>
    <x v="7"/>
    <x v="7"/>
    <n v="500"/>
    <n v="494"/>
    <n v="6"/>
    <n v="85"/>
    <n v="89"/>
    <x v="0"/>
    <n v="42500"/>
    <n v="43966"/>
    <n v="1466"/>
    <n v="1.2E-2"/>
  </r>
  <r>
    <s v="ODP-2026-1012"/>
    <d v="2026-07-10T00:00:00"/>
    <x v="0"/>
    <x v="2"/>
    <x v="2"/>
    <n v="100"/>
    <n v="96"/>
    <n v="4"/>
    <n v="65"/>
    <n v="62.93"/>
    <x v="0"/>
    <n v="6500"/>
    <n v="6041.28"/>
    <n v="-458.72000000000025"/>
    <n v="0.04"/>
  </r>
  <r>
    <s v="ODP-2026-1109"/>
    <d v="2026-09-30T00:00:00"/>
    <x v="2"/>
    <x v="5"/>
    <x v="5"/>
    <n v="1000"/>
    <n v="987"/>
    <n v="13"/>
    <n v="35"/>
    <n v="38.520000000000003"/>
    <x v="5"/>
    <n v="35000"/>
    <n v="38019.240000000005"/>
    <n v="3019.2400000000052"/>
    <n v="1.2999999999999999E-2"/>
  </r>
  <r>
    <s v="ODP-2026-1147"/>
    <d v="2026-11-01T00:00:00"/>
    <x v="2"/>
    <x v="5"/>
    <x v="5"/>
    <n v="200"/>
    <n v="190"/>
    <n v="10"/>
    <n v="35"/>
    <n v="38.78"/>
    <x v="5"/>
    <n v="7000"/>
    <n v="7368.2"/>
    <n v="368.19999999999982"/>
    <n v="0.05"/>
  </r>
  <r>
    <s v="ODP-2026-1007"/>
    <d v="2026-07-06T00:00:00"/>
    <x v="2"/>
    <x v="5"/>
    <x v="5"/>
    <n v="150"/>
    <n v="132"/>
    <n v="18"/>
    <n v="35"/>
    <n v="38.97"/>
    <x v="2"/>
    <n v="5250"/>
    <n v="5144.04"/>
    <n v="-105.96000000000004"/>
    <n v="0.12"/>
  </r>
  <r>
    <s v="ODP-2026-1028"/>
    <d v="2026-07-23T00:00:00"/>
    <x v="2"/>
    <x v="8"/>
    <x v="8"/>
    <n v="100"/>
    <n v="85"/>
    <n v="15"/>
    <n v="28"/>
    <n v="28.78"/>
    <x v="5"/>
    <n v="2800"/>
    <n v="2446.3000000000002"/>
    <n v="-353.69999999999982"/>
    <n v="0.15"/>
  </r>
  <r>
    <s v="ODP-2026-1096"/>
    <d v="2026-09-19T00:00:00"/>
    <x v="0"/>
    <x v="3"/>
    <x v="3"/>
    <n v="200"/>
    <n v="195"/>
    <n v="5"/>
    <n v="210"/>
    <n v="203.18"/>
    <x v="2"/>
    <n v="42000"/>
    <n v="39620.1"/>
    <n v="-2379.9000000000015"/>
    <n v="2.5000000000000001E-2"/>
  </r>
  <r>
    <s v="ODP-2026-1005"/>
    <d v="2026-07-04T00:00:00"/>
    <x v="1"/>
    <x v="8"/>
    <x v="8"/>
    <n v="150"/>
    <n v="138"/>
    <n v="12"/>
    <n v="28"/>
    <n v="29.45"/>
    <x v="5"/>
    <n v="4200"/>
    <n v="4064.1"/>
    <n v="-135.90000000000009"/>
    <n v="0.08"/>
  </r>
  <r>
    <s v="ODP-2026-1033"/>
    <d v="2026-07-28T00:00:00"/>
    <x v="1"/>
    <x v="0"/>
    <x v="0"/>
    <n v="100"/>
    <n v="93"/>
    <n v="7"/>
    <n v="45"/>
    <n v="44.15"/>
    <x v="5"/>
    <n v="4500"/>
    <n v="4105.95"/>
    <n v="-394.05000000000018"/>
    <n v="7.0000000000000007E-2"/>
  </r>
  <r>
    <s v="ODP-2026-1083"/>
    <d v="2026-09-08T00:00:00"/>
    <x v="1"/>
    <x v="5"/>
    <x v="5"/>
    <n v="500"/>
    <n v="488"/>
    <n v="12"/>
    <n v="35"/>
    <n v="38.090000000000003"/>
    <x v="0"/>
    <n v="17500"/>
    <n v="18587.920000000002"/>
    <n v="1087.9200000000019"/>
    <n v="2.4E-2"/>
  </r>
  <r>
    <s v="ODP-2026-1133"/>
    <d v="2026-10-21T00:00:00"/>
    <x v="2"/>
    <x v="6"/>
    <x v="6"/>
    <n v="500"/>
    <n v="489"/>
    <n v="11"/>
    <n v="340"/>
    <n v="354.84"/>
    <x v="2"/>
    <n v="170000"/>
    <n v="173516.75999999998"/>
    <n v="3516.7599999999802"/>
    <n v="2.1999999999999999E-2"/>
  </r>
  <r>
    <s v="ODP-2026-1086"/>
    <d v="2026-09-11T00:00:00"/>
    <x v="2"/>
    <x v="7"/>
    <x v="7"/>
    <n v="100"/>
    <n v="76"/>
    <n v="24"/>
    <n v="85"/>
    <n v="91.33"/>
    <x v="4"/>
    <n v="8500"/>
    <n v="6941.08"/>
    <n v="-1558.92"/>
    <n v="0.24"/>
  </r>
  <r>
    <s v="ODP-2026-1145"/>
    <d v="2026-10-31T00:00:00"/>
    <x v="1"/>
    <x v="1"/>
    <x v="1"/>
    <n v="1000"/>
    <n v="990"/>
    <n v="10"/>
    <n v="120"/>
    <n v="114.4"/>
    <x v="0"/>
    <n v="120000"/>
    <n v="113256"/>
    <n v="-6744"/>
    <n v="0.01"/>
  </r>
  <r>
    <s v="ODP-2026-1011"/>
    <d v="2026-07-09T00:00:00"/>
    <x v="1"/>
    <x v="1"/>
    <x v="1"/>
    <n v="1000"/>
    <n v="982"/>
    <n v="18"/>
    <n v="120"/>
    <n v="115.15"/>
    <x v="5"/>
    <n v="120000"/>
    <n v="113077.3"/>
    <n v="-6922.6999999999971"/>
    <n v="1.7999999999999999E-2"/>
  </r>
  <r>
    <s v="ODP-2026-1121"/>
    <d v="2026-10-10T00:00:00"/>
    <x v="2"/>
    <x v="4"/>
    <x v="4"/>
    <n v="100"/>
    <n v="92"/>
    <n v="8"/>
    <n v="150"/>
    <n v="146.44"/>
    <x v="2"/>
    <n v="15000"/>
    <n v="13472.48"/>
    <n v="-1527.5200000000004"/>
    <n v="0.08"/>
  </r>
  <r>
    <s v="ODP-2026-1134"/>
    <d v="2026-10-21T00:00:00"/>
    <x v="0"/>
    <x v="0"/>
    <x v="0"/>
    <n v="300"/>
    <n v="294"/>
    <n v="6"/>
    <n v="45"/>
    <n v="40.42"/>
    <x v="4"/>
    <n v="13500"/>
    <n v="11883.480000000001"/>
    <n v="-1616.5199999999986"/>
    <n v="0.02"/>
  </r>
  <r>
    <s v="ODP-2026-1001"/>
    <d v="2026-07-01T00:00:00"/>
    <x v="2"/>
    <x v="3"/>
    <x v="3"/>
    <n v="300"/>
    <n v="276"/>
    <n v="24"/>
    <n v="210"/>
    <n v="206.24"/>
    <x v="4"/>
    <n v="63000"/>
    <n v="56922.240000000005"/>
    <n v="-6077.7599999999948"/>
    <n v="0.08"/>
  </r>
  <r>
    <s v="ODP-2026-1167"/>
    <d v="2026-11-18T00:00:00"/>
    <x v="1"/>
    <x v="8"/>
    <x v="8"/>
    <n v="500"/>
    <n v="477"/>
    <n v="23"/>
    <n v="28"/>
    <n v="25.18"/>
    <x v="2"/>
    <n v="14000"/>
    <n v="12010.86"/>
    <n v="-1989.1399999999994"/>
    <n v="4.5999999999999999E-2"/>
  </r>
  <r>
    <s v="ODP-2026-1141"/>
    <d v="2026-10-27T00:00:00"/>
    <x v="2"/>
    <x v="7"/>
    <x v="7"/>
    <n v="200"/>
    <n v="197"/>
    <n v="3"/>
    <n v="85"/>
    <n v="91.62"/>
    <x v="4"/>
    <n v="17000"/>
    <n v="18049.14"/>
    <n v="1049.1399999999994"/>
    <n v="1.4999999999999999E-2"/>
  </r>
  <r>
    <s v="ODP-2026-1071"/>
    <d v="2026-08-29T00:00:00"/>
    <x v="1"/>
    <x v="4"/>
    <x v="4"/>
    <n v="150"/>
    <n v="136"/>
    <n v="14"/>
    <n v="150"/>
    <n v="143.57"/>
    <x v="2"/>
    <n v="22500"/>
    <n v="19525.52"/>
    <n v="-2974.4799999999996"/>
    <n v="9.3333333333333338E-2"/>
  </r>
  <r>
    <s v="ODP-2026-1098"/>
    <d v="2026-09-21T00:00:00"/>
    <x v="1"/>
    <x v="6"/>
    <x v="6"/>
    <n v="500"/>
    <n v="493"/>
    <n v="7"/>
    <n v="340"/>
    <n v="354.37"/>
    <x v="4"/>
    <n v="170000"/>
    <n v="174704.41"/>
    <n v="4704.4100000000035"/>
    <n v="1.4E-2"/>
  </r>
  <r>
    <s v="ODP-2026-1065"/>
    <d v="2026-08-24T00:00:00"/>
    <x v="0"/>
    <x v="5"/>
    <x v="5"/>
    <n v="150"/>
    <n v="139"/>
    <n v="11"/>
    <n v="35"/>
    <n v="36.130000000000003"/>
    <x v="5"/>
    <n v="5250"/>
    <n v="5022.0700000000006"/>
    <n v="-227.92999999999938"/>
    <n v="7.3333333333333334E-2"/>
  </r>
  <r>
    <s v="ODP-2026-1045"/>
    <d v="2026-08-07T00:00:00"/>
    <x v="0"/>
    <x v="7"/>
    <x v="7"/>
    <n v="1000"/>
    <n v="982"/>
    <n v="18"/>
    <n v="85"/>
    <n v="90.29"/>
    <x v="5"/>
    <n v="85000"/>
    <n v="88664.780000000013"/>
    <n v="3664.7800000000134"/>
    <n v="1.7999999999999999E-2"/>
  </r>
  <r>
    <s v="ODP-2026-1110"/>
    <d v="2026-10-01T00:00:00"/>
    <x v="2"/>
    <x v="2"/>
    <x v="2"/>
    <n v="150"/>
    <n v="144"/>
    <n v="6"/>
    <n v="65"/>
    <n v="63.07"/>
    <x v="1"/>
    <n v="9750"/>
    <n v="9082.08"/>
    <n v="-667.92000000000007"/>
    <n v="0.04"/>
  </r>
  <r>
    <s v="ODP-2026-1029"/>
    <d v="2026-07-24T00:00:00"/>
    <x v="0"/>
    <x v="5"/>
    <x v="5"/>
    <n v="150"/>
    <n v="138"/>
    <n v="12"/>
    <n v="35"/>
    <n v="36.79"/>
    <x v="4"/>
    <n v="5250"/>
    <n v="5077.0199999999995"/>
    <n v="-172.98000000000047"/>
    <n v="0.08"/>
  </r>
  <r>
    <s v="ODP-2026-1041"/>
    <d v="2026-08-03T00:00:00"/>
    <x v="1"/>
    <x v="8"/>
    <x v="8"/>
    <n v="300"/>
    <n v="282"/>
    <n v="18"/>
    <n v="28"/>
    <n v="27.17"/>
    <x v="4"/>
    <n v="8400"/>
    <n v="7661.9400000000005"/>
    <n v="-738.05999999999949"/>
    <n v="0.06"/>
  </r>
  <r>
    <s v="ODP-2026-1143"/>
    <d v="2026-10-29T00:00:00"/>
    <x v="0"/>
    <x v="7"/>
    <x v="7"/>
    <n v="100"/>
    <n v="98"/>
    <n v="2"/>
    <n v="85"/>
    <n v="89.24"/>
    <x v="0"/>
    <n v="8500"/>
    <n v="8745.5199999999986"/>
    <n v="245.51999999999862"/>
    <n v="0.02"/>
  </r>
  <r>
    <s v="ODP-2026-1144"/>
    <d v="2026-10-30T00:00:00"/>
    <x v="1"/>
    <x v="7"/>
    <x v="7"/>
    <n v="1000"/>
    <n v="994"/>
    <n v="6"/>
    <n v="85"/>
    <n v="90.03"/>
    <x v="5"/>
    <n v="85000"/>
    <n v="89489.82"/>
    <n v="4489.820000000007"/>
    <n v="6.0000000000000001E-3"/>
  </r>
  <r>
    <s v="ODP-2026-1026"/>
    <d v="2026-07-22T00:00:00"/>
    <x v="0"/>
    <x v="0"/>
    <x v="0"/>
    <n v="100"/>
    <n v="84"/>
    <n v="16"/>
    <n v="45"/>
    <n v="44.14"/>
    <x v="4"/>
    <n v="4500"/>
    <n v="3707.76"/>
    <n v="-792.23999999999978"/>
    <n v="0.16"/>
  </r>
  <r>
    <s v="ODP-2026-1024"/>
    <d v="2026-07-20T00:00:00"/>
    <x v="1"/>
    <x v="5"/>
    <x v="5"/>
    <n v="200"/>
    <n v="192"/>
    <n v="8"/>
    <n v="35"/>
    <n v="39.15"/>
    <x v="4"/>
    <n v="7000"/>
    <n v="7516.7999999999993"/>
    <n v="516.79999999999927"/>
    <n v="0.04"/>
  </r>
  <r>
    <s v="ODP-2026-1139"/>
    <d v="2026-10-26T00:00:00"/>
    <x v="0"/>
    <x v="7"/>
    <x v="7"/>
    <n v="200"/>
    <n v="186"/>
    <n v="14"/>
    <n v="85"/>
    <n v="91.4"/>
    <x v="4"/>
    <n v="17000"/>
    <n v="17000.400000000001"/>
    <n v="0.40000000000145519"/>
    <n v="7.0000000000000007E-2"/>
  </r>
  <r>
    <s v="ODP-2026-1082"/>
    <d v="2026-09-07T00:00:00"/>
    <x v="1"/>
    <x v="7"/>
    <x v="7"/>
    <n v="500"/>
    <n v="495"/>
    <n v="5"/>
    <n v="85"/>
    <n v="90.34"/>
    <x v="1"/>
    <n v="42500"/>
    <n v="44718.3"/>
    <n v="2218.3000000000029"/>
    <n v="0.01"/>
  </r>
  <r>
    <s v="ODP-2026-1080"/>
    <d v="2026-09-06T00:00:00"/>
    <x v="1"/>
    <x v="5"/>
    <x v="5"/>
    <n v="250"/>
    <n v="226"/>
    <n v="24"/>
    <n v="35"/>
    <n v="37.71"/>
    <x v="0"/>
    <n v="8750"/>
    <n v="8522.4600000000009"/>
    <n v="-227.53999999999905"/>
    <n v="9.6000000000000002E-2"/>
  </r>
  <r>
    <s v="ODP-2026-1085"/>
    <d v="2026-09-10T00:00:00"/>
    <x v="0"/>
    <x v="1"/>
    <x v="1"/>
    <n v="100"/>
    <n v="90"/>
    <n v="10"/>
    <n v="120"/>
    <n v="114.13"/>
    <x v="0"/>
    <n v="12000"/>
    <n v="10271.699999999999"/>
    <n v="-1728.3000000000011"/>
    <n v="0.1"/>
  </r>
  <r>
    <s v="ODP-2026-1040"/>
    <d v="2026-08-03T00:00:00"/>
    <x v="0"/>
    <x v="7"/>
    <x v="7"/>
    <n v="1000"/>
    <n v="992"/>
    <n v="8"/>
    <n v="85"/>
    <n v="89.97"/>
    <x v="5"/>
    <n v="85000"/>
    <n v="89250.240000000005"/>
    <n v="4250.2400000000052"/>
    <n v="8.0000000000000002E-3"/>
  </r>
  <r>
    <s v="ODP-2026-1115"/>
    <d v="2026-10-05T00:00:00"/>
    <x v="1"/>
    <x v="3"/>
    <x v="3"/>
    <n v="1000"/>
    <n v="979"/>
    <n v="21"/>
    <n v="210"/>
    <n v="204.7"/>
    <x v="0"/>
    <n v="210000"/>
    <n v="200401.3"/>
    <n v="-9598.7000000000116"/>
    <n v="2.1000000000000001E-2"/>
  </r>
  <r>
    <s v="ODP-2026-1087"/>
    <d v="2026-09-12T00:00:00"/>
    <x v="1"/>
    <x v="1"/>
    <x v="1"/>
    <n v="1000"/>
    <n v="996"/>
    <n v="4"/>
    <n v="120"/>
    <n v="116.32"/>
    <x v="0"/>
    <n v="120000"/>
    <n v="115854.71999999999"/>
    <n v="-4145.2800000000134"/>
    <n v="4.0000000000000001E-3"/>
  </r>
  <r>
    <s v="ODP-2026-1043"/>
    <d v="2026-08-05T00:00:00"/>
    <x v="0"/>
    <x v="1"/>
    <x v="1"/>
    <n v="200"/>
    <n v="177"/>
    <n v="23"/>
    <n v="120"/>
    <n v="117.25"/>
    <x v="2"/>
    <n v="24000"/>
    <n v="20753.25"/>
    <n v="-3246.75"/>
    <n v="0.115"/>
  </r>
  <r>
    <s v="ODP-2026-1156"/>
    <d v="2026-11-09T00:00:00"/>
    <x v="1"/>
    <x v="4"/>
    <x v="4"/>
    <n v="150"/>
    <n v="131"/>
    <n v="19"/>
    <n v="150"/>
    <n v="146.32"/>
    <x v="1"/>
    <n v="22500"/>
    <n v="19167.919999999998"/>
    <n v="-3332.0800000000017"/>
    <n v="0.12666666666666668"/>
  </r>
  <r>
    <s v="ODP-2026-1048"/>
    <d v="2026-08-09T00:00:00"/>
    <x v="0"/>
    <x v="7"/>
    <x v="7"/>
    <n v="300"/>
    <n v="295"/>
    <n v="5"/>
    <n v="85"/>
    <n v="90.29"/>
    <x v="2"/>
    <n v="25500"/>
    <n v="26635.550000000003"/>
    <n v="1135.5500000000029"/>
    <n v="1.6666666666666666E-2"/>
  </r>
  <r>
    <s v="ODP-2026-1095"/>
    <d v="2026-09-18T00:00:00"/>
    <x v="1"/>
    <x v="5"/>
    <x v="5"/>
    <n v="200"/>
    <n v="188"/>
    <n v="12"/>
    <n v="35"/>
    <n v="39.229999999999997"/>
    <x v="2"/>
    <n v="7000"/>
    <n v="7375.24"/>
    <n v="375.23999999999978"/>
    <n v="0.06"/>
  </r>
  <r>
    <s v="ODP-2026-1142"/>
    <d v="2026-10-28T00:00:00"/>
    <x v="2"/>
    <x v="4"/>
    <x v="4"/>
    <n v="1000"/>
    <n v="979"/>
    <n v="21"/>
    <n v="150"/>
    <n v="147.77000000000001"/>
    <x v="2"/>
    <n v="150000"/>
    <n v="144666.83000000002"/>
    <n v="-5333.1699999999837"/>
    <n v="2.1000000000000001E-2"/>
  </r>
  <r>
    <s v="ODP-2026-1174"/>
    <d v="2026-11-24T00:00:00"/>
    <x v="0"/>
    <x v="0"/>
    <x v="0"/>
    <n v="150"/>
    <n v="128"/>
    <n v="22"/>
    <n v="45"/>
    <n v="44.54"/>
    <x v="5"/>
    <n v="6750"/>
    <n v="5701.12"/>
    <n v="-1048.8800000000001"/>
    <n v="0.14666666666666667"/>
  </r>
  <r>
    <s v="ODP-2026-1062"/>
    <d v="2026-08-21T00:00:00"/>
    <x v="0"/>
    <x v="3"/>
    <x v="3"/>
    <n v="500"/>
    <n v="482"/>
    <n v="18"/>
    <n v="210"/>
    <n v="203.56"/>
    <x v="4"/>
    <n v="105000"/>
    <n v="98115.92"/>
    <n v="-6884.0800000000017"/>
    <n v="3.5999999999999997E-2"/>
  </r>
  <r>
    <s v="ODP-2026-1074"/>
    <d v="2026-08-31T00:00:00"/>
    <x v="0"/>
    <x v="1"/>
    <x v="1"/>
    <n v="200"/>
    <n v="198"/>
    <n v="2"/>
    <n v="120"/>
    <n v="113.68"/>
    <x v="5"/>
    <n v="24000"/>
    <n v="22508.640000000003"/>
    <n v="-1491.3599999999969"/>
    <n v="0.01"/>
  </r>
  <r>
    <s v="ODP-2026-1034"/>
    <d v="2026-07-29T00:00:00"/>
    <x v="2"/>
    <x v="2"/>
    <x v="2"/>
    <n v="300"/>
    <n v="296"/>
    <n v="4"/>
    <n v="65"/>
    <n v="60.57"/>
    <x v="2"/>
    <n v="19500"/>
    <n v="17928.72"/>
    <n v="-1571.2799999999988"/>
    <n v="1.3333333333333334E-2"/>
  </r>
  <r>
    <s v="ODP-2026-1044"/>
    <d v="2026-08-06T00:00:00"/>
    <x v="1"/>
    <x v="6"/>
    <x v="6"/>
    <n v="300"/>
    <n v="287"/>
    <n v="13"/>
    <n v="340"/>
    <n v="353.07"/>
    <x v="0"/>
    <n v="102000"/>
    <n v="101331.09"/>
    <n v="-668.91000000000349"/>
    <n v="4.3333333333333335E-2"/>
  </r>
  <r>
    <s v="ODP-2026-1140"/>
    <d v="2026-10-27T00:00:00"/>
    <x v="1"/>
    <x v="4"/>
    <x v="4"/>
    <n v="200"/>
    <n v="191"/>
    <n v="9"/>
    <n v="150"/>
    <n v="148.38"/>
    <x v="5"/>
    <n v="30000"/>
    <n v="28340.579999999998"/>
    <n v="-1659.4200000000019"/>
    <n v="4.4999999999999998E-2"/>
  </r>
  <r>
    <s v="ODP-2026-1146"/>
    <d v="2026-11-01T00:00:00"/>
    <x v="1"/>
    <x v="5"/>
    <x v="5"/>
    <n v="1000"/>
    <n v="982"/>
    <n v="18"/>
    <n v="35"/>
    <n v="37.08"/>
    <x v="3"/>
    <n v="35000"/>
    <n v="36412.559999999998"/>
    <n v="1412.5599999999977"/>
    <n v="1.7999999999999999E-2"/>
  </r>
  <r>
    <s v="ODP-2026-1063"/>
    <d v="2026-08-22T00:00:00"/>
    <x v="2"/>
    <x v="3"/>
    <x v="3"/>
    <n v="100"/>
    <n v="87"/>
    <n v="13"/>
    <n v="210"/>
    <n v="208.05"/>
    <x v="1"/>
    <n v="21000"/>
    <n v="18100.350000000002"/>
    <n v="-2899.6499999999978"/>
    <n v="0.13"/>
  </r>
  <r>
    <s v="ODP-2026-1128"/>
    <d v="2026-10-16T00:00:00"/>
    <x v="0"/>
    <x v="2"/>
    <x v="2"/>
    <n v="100"/>
    <n v="88"/>
    <n v="12"/>
    <n v="65"/>
    <n v="62.94"/>
    <x v="5"/>
    <n v="6500"/>
    <n v="5538.7199999999993"/>
    <n v="-961.28000000000065"/>
    <n v="0.12"/>
  </r>
  <r>
    <s v="ODP-2026-1004"/>
    <d v="2026-07-03T00:00:00"/>
    <x v="2"/>
    <x v="1"/>
    <x v="1"/>
    <n v="150"/>
    <n v="134"/>
    <n v="16"/>
    <n v="120"/>
    <n v="116.93"/>
    <x v="1"/>
    <n v="18000"/>
    <n v="15668.62"/>
    <n v="-2331.3799999999992"/>
    <n v="0.10666666666666667"/>
  </r>
  <r>
    <s v="ODP-2026-1078"/>
    <d v="2026-09-04T00:00:00"/>
    <x v="0"/>
    <x v="3"/>
    <x v="3"/>
    <n v="100"/>
    <n v="93"/>
    <n v="7"/>
    <n v="210"/>
    <n v="207.61"/>
    <x v="1"/>
    <n v="21000"/>
    <n v="19307.73"/>
    <n v="-1692.2700000000004"/>
    <n v="7.0000000000000007E-2"/>
  </r>
  <r>
    <s v="ODP-2026-1054"/>
    <d v="2026-08-15T00:00:00"/>
    <x v="1"/>
    <x v="1"/>
    <x v="1"/>
    <n v="500"/>
    <n v="484"/>
    <n v="16"/>
    <n v="120"/>
    <n v="114.58"/>
    <x v="4"/>
    <n v="60000"/>
    <n v="55456.72"/>
    <n v="-4543.2799999999988"/>
    <n v="3.2000000000000001E-2"/>
  </r>
  <r>
    <s v="ODP-2026-1126"/>
    <d v="2026-10-15T00:00:00"/>
    <x v="0"/>
    <x v="8"/>
    <x v="8"/>
    <n v="100"/>
    <n v="95"/>
    <n v="5"/>
    <n v="28"/>
    <n v="28.43"/>
    <x v="4"/>
    <n v="2800"/>
    <n v="2700.85"/>
    <n v="-99.150000000000091"/>
    <n v="0.05"/>
  </r>
  <r>
    <s v="ODP-2026-1168"/>
    <d v="2026-11-19T00:00:00"/>
    <x v="1"/>
    <x v="7"/>
    <x v="7"/>
    <n v="300"/>
    <n v="291"/>
    <n v="9"/>
    <n v="85"/>
    <n v="91.82"/>
    <x v="4"/>
    <n v="25500"/>
    <n v="26719.62"/>
    <n v="1219.619999999999"/>
    <n v="0.03"/>
  </r>
  <r>
    <s v="ODP-2026-1173"/>
    <d v="2026-11-24T00:00:00"/>
    <x v="1"/>
    <x v="6"/>
    <x v="6"/>
    <n v="250"/>
    <n v="246"/>
    <n v="4"/>
    <n v="340"/>
    <n v="354.85"/>
    <x v="1"/>
    <n v="85000"/>
    <n v="87293.1"/>
    <n v="2293.1000000000058"/>
    <n v="1.6E-2"/>
  </r>
  <r>
    <s v="ODP-2026-1050"/>
    <d v="2026-08-11T00:00:00"/>
    <x v="2"/>
    <x v="2"/>
    <x v="2"/>
    <n v="150"/>
    <n v="146"/>
    <n v="4"/>
    <n v="65"/>
    <n v="65.27"/>
    <x v="5"/>
    <n v="9750"/>
    <n v="9529.42"/>
    <n v="-220.57999999999993"/>
    <n v="2.6666666666666668E-2"/>
  </r>
  <r>
    <s v="ODP-2026-1081"/>
    <d v="2026-09-06T00:00:00"/>
    <x v="0"/>
    <x v="7"/>
    <x v="7"/>
    <n v="300"/>
    <n v="283"/>
    <n v="17"/>
    <n v="85"/>
    <n v="88.25"/>
    <x v="0"/>
    <n v="25500"/>
    <n v="24974.75"/>
    <n v="-525.25"/>
    <n v="5.6666666666666664E-2"/>
  </r>
  <r>
    <s v="ODP-2026-1035"/>
    <d v="2026-07-29T00:00:00"/>
    <x v="1"/>
    <x v="8"/>
    <x v="8"/>
    <n v="1000"/>
    <n v="980"/>
    <n v="20"/>
    <n v="28"/>
    <n v="27.45"/>
    <x v="3"/>
    <n v="28000"/>
    <n v="26901"/>
    <n v="-1099"/>
    <n v="0.02"/>
  </r>
  <r>
    <s v="ODP-2026-1008"/>
    <d v="2026-07-06T00:00:00"/>
    <x v="0"/>
    <x v="0"/>
    <x v="0"/>
    <n v="200"/>
    <n v="195"/>
    <n v="5"/>
    <n v="45"/>
    <n v="42.41"/>
    <x v="5"/>
    <n v="9000"/>
    <n v="8269.9499999999989"/>
    <n v="-730.05000000000109"/>
    <n v="2.5000000000000001E-2"/>
  </r>
  <r>
    <s v="ODP-2026-1111"/>
    <d v="2026-10-02T00:00:00"/>
    <x v="2"/>
    <x v="0"/>
    <x v="0"/>
    <n v="250"/>
    <n v="243"/>
    <n v="7"/>
    <n v="45"/>
    <n v="44.73"/>
    <x v="0"/>
    <n v="11250"/>
    <n v="10869.39"/>
    <n v="-380.61000000000058"/>
    <n v="2.8000000000000001E-2"/>
  </r>
  <r>
    <s v="ODP-2026-1092"/>
    <d v="2026-09-16T00:00:00"/>
    <x v="1"/>
    <x v="7"/>
    <x v="7"/>
    <n v="300"/>
    <n v="293"/>
    <n v="7"/>
    <n v="85"/>
    <n v="89.56"/>
    <x v="4"/>
    <n v="25500"/>
    <n v="26241.08"/>
    <n v="741.08000000000175"/>
    <n v="2.3333333333333334E-2"/>
  </r>
  <r>
    <s v="ODP-2026-1084"/>
    <d v="2026-09-09T00:00:00"/>
    <x v="0"/>
    <x v="6"/>
    <x v="6"/>
    <n v="200"/>
    <n v="176"/>
    <n v="24"/>
    <n v="340"/>
    <n v="357.09"/>
    <x v="2"/>
    <n v="68000"/>
    <n v="62847.839999999997"/>
    <n v="-5152.1600000000035"/>
    <n v="0.12"/>
  </r>
  <r>
    <s v="ODP-2026-1164"/>
    <d v="2026-11-16T00:00:00"/>
    <x v="0"/>
    <x v="2"/>
    <x v="2"/>
    <n v="250"/>
    <n v="246"/>
    <n v="4"/>
    <n v="65"/>
    <n v="63.48"/>
    <x v="2"/>
    <n v="16250"/>
    <n v="15616.08"/>
    <n v="-633.92000000000007"/>
    <n v="1.6E-2"/>
  </r>
  <r>
    <s v="ODP-2026-1169"/>
    <d v="2026-11-20T00:00:00"/>
    <x v="0"/>
    <x v="6"/>
    <x v="6"/>
    <n v="500"/>
    <n v="488"/>
    <n v="12"/>
    <n v="340"/>
    <n v="356.54"/>
    <x v="5"/>
    <n v="170000"/>
    <n v="173991.52000000002"/>
    <n v="3991.5200000000186"/>
    <n v="2.4E-2"/>
  </r>
  <r>
    <s v="ODP-2026-1090"/>
    <d v="2026-09-14T00:00:00"/>
    <x v="2"/>
    <x v="6"/>
    <x v="6"/>
    <n v="1000"/>
    <n v="994"/>
    <n v="6"/>
    <n v="340"/>
    <n v="357.75"/>
    <x v="5"/>
    <n v="340000"/>
    <n v="355603.5"/>
    <n v="15603.5"/>
    <n v="6.0000000000000001E-3"/>
  </r>
  <r>
    <s v="ODP-2026-1009"/>
    <d v="2026-07-07T00:00:00"/>
    <x v="1"/>
    <x v="2"/>
    <x v="2"/>
    <n v="300"/>
    <n v="298"/>
    <n v="2"/>
    <n v="65"/>
    <n v="63.18"/>
    <x v="0"/>
    <n v="19500"/>
    <n v="18827.64"/>
    <n v="-672.36000000000058"/>
    <n v="6.6666666666666671E-3"/>
  </r>
  <r>
    <s v="ODP-2026-1014"/>
    <d v="2026-07-12T00:00:00"/>
    <x v="2"/>
    <x v="8"/>
    <x v="8"/>
    <n v="100"/>
    <n v="84"/>
    <n v="16"/>
    <n v="28"/>
    <n v="25.76"/>
    <x v="2"/>
    <n v="2800"/>
    <n v="2163.84"/>
    <n v="-636.15999999999985"/>
    <n v="0.16"/>
  </r>
  <r>
    <s v="ODP-2026-1060"/>
    <d v="2026-08-20T00:00:00"/>
    <x v="0"/>
    <x v="7"/>
    <x v="7"/>
    <n v="300"/>
    <n v="291"/>
    <n v="9"/>
    <n v="85"/>
    <n v="90.99"/>
    <x v="2"/>
    <n v="25500"/>
    <n v="26478.09"/>
    <n v="978.09000000000015"/>
    <n v="0.03"/>
  </r>
  <r>
    <s v="ODP-2026-1159"/>
    <d v="2026-11-12T00:00:00"/>
    <x v="2"/>
    <x v="6"/>
    <x v="6"/>
    <n v="200"/>
    <n v="188"/>
    <n v="12"/>
    <n v="340"/>
    <n v="358.19"/>
    <x v="0"/>
    <n v="68000"/>
    <n v="67339.72"/>
    <n v="-660.27999999999884"/>
    <n v="0.06"/>
  </r>
  <r>
    <s v="ODP-2026-1132"/>
    <d v="2026-10-20T00:00:00"/>
    <x v="1"/>
    <x v="5"/>
    <x v="5"/>
    <n v="150"/>
    <n v="131"/>
    <n v="19"/>
    <n v="35"/>
    <n v="36.57"/>
    <x v="5"/>
    <n v="5250"/>
    <n v="4790.67"/>
    <n v="-459.32999999999993"/>
    <n v="0.12666666666666668"/>
  </r>
  <r>
    <s v="ODP-2026-1018"/>
    <d v="2026-07-15T00:00:00"/>
    <x v="1"/>
    <x v="8"/>
    <x v="8"/>
    <n v="200"/>
    <n v="176"/>
    <n v="24"/>
    <n v="28"/>
    <n v="28.52"/>
    <x v="2"/>
    <n v="5600"/>
    <n v="5019.5199999999995"/>
    <n v="-580.48000000000047"/>
    <n v="0.12"/>
  </r>
  <r>
    <s v="ODP-2026-1073"/>
    <d v="2026-08-31T00:00:00"/>
    <x v="1"/>
    <x v="0"/>
    <x v="0"/>
    <n v="500"/>
    <n v="494"/>
    <n v="6"/>
    <n v="45"/>
    <n v="45.01"/>
    <x v="0"/>
    <n v="22500"/>
    <n v="22234.94"/>
    <n v="-265.06000000000131"/>
    <n v="1.2E-2"/>
  </r>
  <r>
    <s v="ODP-2026-1163"/>
    <d v="2026-11-15T00:00:00"/>
    <x v="2"/>
    <x v="7"/>
    <x v="7"/>
    <n v="150"/>
    <n v="146"/>
    <n v="4"/>
    <n v="85"/>
    <n v="87.48"/>
    <x v="1"/>
    <n v="12750"/>
    <n v="12772.08"/>
    <n v="22.079999999999927"/>
    <n v="2.6666666666666668E-2"/>
  </r>
  <r>
    <s v="ODP-2026-1106"/>
    <d v="2026-09-28T00:00:00"/>
    <x v="2"/>
    <x v="7"/>
    <x v="7"/>
    <n v="1000"/>
    <n v="920"/>
    <n v="80"/>
    <n v="85"/>
    <n v="88.17"/>
    <x v="1"/>
    <n v="85000"/>
    <n v="81116.400000000009"/>
    <n v="-3883.5999999999913"/>
    <n v="0.08"/>
  </r>
  <r>
    <s v="ODP-2026-1155"/>
    <d v="2026-11-08T00:00:00"/>
    <x v="1"/>
    <x v="4"/>
    <x v="4"/>
    <n v="300"/>
    <n v="287"/>
    <n v="13"/>
    <n v="150"/>
    <n v="148.44"/>
    <x v="1"/>
    <n v="45000"/>
    <n v="42602.28"/>
    <n v="-2397.7200000000012"/>
    <n v="4.3333333333333335E-2"/>
  </r>
  <r>
    <s v="ODP-2026-1171"/>
    <d v="2026-11-22T00:00:00"/>
    <x v="2"/>
    <x v="4"/>
    <x v="4"/>
    <n v="300"/>
    <n v="294"/>
    <n v="6"/>
    <n v="150"/>
    <n v="148.01"/>
    <x v="4"/>
    <n v="45000"/>
    <n v="43514.939999999995"/>
    <n v="-1485.0600000000049"/>
    <n v="0.02"/>
  </r>
  <r>
    <s v="ODP-2026-1064"/>
    <d v="2026-08-23T00:00:00"/>
    <x v="1"/>
    <x v="6"/>
    <x v="6"/>
    <n v="100"/>
    <n v="80"/>
    <n v="20"/>
    <n v="340"/>
    <n v="357.35"/>
    <x v="0"/>
    <n v="34000"/>
    <n v="28588"/>
    <n v="-5412"/>
    <n v="0.2"/>
  </r>
  <r>
    <s v="ODP-2026-1055"/>
    <d v="2026-08-15T00:00:00"/>
    <x v="1"/>
    <x v="8"/>
    <x v="8"/>
    <n v="100"/>
    <n v="95"/>
    <n v="5"/>
    <n v="28"/>
    <n v="27.88"/>
    <x v="1"/>
    <n v="2800"/>
    <n v="2648.6"/>
    <n v="-151.40000000000009"/>
    <n v="0.05"/>
  </r>
  <r>
    <s v="ODP-2026-1108"/>
    <d v="2026-09-29T00:00:00"/>
    <x v="1"/>
    <x v="4"/>
    <x v="4"/>
    <n v="200"/>
    <n v="186"/>
    <n v="14"/>
    <n v="150"/>
    <n v="148.37"/>
    <x v="0"/>
    <n v="30000"/>
    <n v="27596.82"/>
    <n v="-2403.1800000000003"/>
    <n v="7.0000000000000007E-2"/>
  </r>
  <r>
    <s v="ODP-2026-1051"/>
    <d v="2026-08-12T00:00:00"/>
    <x v="2"/>
    <x v="5"/>
    <x v="5"/>
    <n v="200"/>
    <n v="190"/>
    <n v="10"/>
    <n v="35"/>
    <n v="37.880000000000003"/>
    <x v="4"/>
    <n v="7000"/>
    <n v="7197.2000000000007"/>
    <n v="197.20000000000073"/>
    <n v="0.05"/>
  </r>
  <r>
    <s v="ODP-2026-1059"/>
    <d v="2026-08-19T00:00:00"/>
    <x v="0"/>
    <x v="3"/>
    <x v="3"/>
    <n v="300"/>
    <n v="284"/>
    <n v="16"/>
    <n v="210"/>
    <n v="204.41"/>
    <x v="0"/>
    <n v="63000"/>
    <n v="58052.44"/>
    <n v="-4947.5599999999977"/>
    <n v="5.3333333333333337E-2"/>
  </r>
  <r>
    <s v="ODP-2026-1049"/>
    <d v="2026-08-10T00:00:00"/>
    <x v="2"/>
    <x v="6"/>
    <x v="6"/>
    <n v="150"/>
    <n v="139"/>
    <n v="11"/>
    <n v="340"/>
    <n v="357.55"/>
    <x v="4"/>
    <n v="51000"/>
    <n v="49699.450000000004"/>
    <n v="-1300.5499999999956"/>
    <n v="7.3333333333333334E-2"/>
  </r>
  <r>
    <s v="ODP-2026-1089"/>
    <d v="2026-09-13T00:00:00"/>
    <x v="1"/>
    <x v="3"/>
    <x v="3"/>
    <n v="1000"/>
    <n v="991"/>
    <n v="9"/>
    <n v="210"/>
    <n v="205.28"/>
    <x v="2"/>
    <n v="210000"/>
    <n v="203432.48"/>
    <n v="-6567.5199999999895"/>
    <n v="8.9999999999999993E-3"/>
  </r>
  <r>
    <s v="ODP-2026-1022"/>
    <d v="2026-07-18T00:00:00"/>
    <x v="0"/>
    <x v="5"/>
    <x v="5"/>
    <n v="100"/>
    <n v="85"/>
    <n v="15"/>
    <n v="35"/>
    <n v="38.72"/>
    <x v="5"/>
    <n v="3500"/>
    <n v="3291.2"/>
    <n v="-208.80000000000018"/>
    <n v="0.15"/>
  </r>
  <r>
    <s v="ODP-2026-1058"/>
    <d v="2026-08-18T00:00:00"/>
    <x v="0"/>
    <x v="2"/>
    <x v="2"/>
    <n v="200"/>
    <n v="197"/>
    <n v="3"/>
    <n v="65"/>
    <n v="60.55"/>
    <x v="1"/>
    <n v="13000"/>
    <n v="11928.349999999999"/>
    <n v="-1071.6500000000015"/>
    <n v="1.4999999999999999E-2"/>
  </r>
  <r>
    <s v="ODP-2026-1161"/>
    <d v="2026-11-13T00:00:00"/>
    <x v="0"/>
    <x v="4"/>
    <x v="4"/>
    <n v="300"/>
    <n v="297"/>
    <n v="3"/>
    <n v="150"/>
    <n v="145.24"/>
    <x v="0"/>
    <n v="45000"/>
    <n v="43136.280000000006"/>
    <n v="-1863.7199999999939"/>
    <n v="0.01"/>
  </r>
  <r>
    <s v="ODP-2026-1135"/>
    <d v="2026-10-22T00:00:00"/>
    <x v="0"/>
    <x v="6"/>
    <x v="6"/>
    <n v="150"/>
    <n v="126"/>
    <n v="24"/>
    <n v="340"/>
    <n v="357.14"/>
    <x v="5"/>
    <n v="51000"/>
    <n v="44999.64"/>
    <n v="-6000.3600000000006"/>
    <n v="0.16"/>
  </r>
  <r>
    <s v="ODP-2026-1130"/>
    <d v="2026-10-18T00:00:00"/>
    <x v="0"/>
    <x v="3"/>
    <x v="3"/>
    <n v="250"/>
    <n v="248"/>
    <n v="2"/>
    <n v="210"/>
    <n v="205.73"/>
    <x v="1"/>
    <n v="52500"/>
    <n v="51021.04"/>
    <n v="-1478.9599999999991"/>
    <n v="8.0000000000000002E-3"/>
  </r>
  <r>
    <s v="ODP-2026-1038"/>
    <d v="2026-08-01T00:00:00"/>
    <x v="1"/>
    <x v="3"/>
    <x v="3"/>
    <n v="100"/>
    <n v="94"/>
    <n v="6"/>
    <n v="210"/>
    <n v="206.32"/>
    <x v="1"/>
    <n v="21000"/>
    <n v="19394.079999999998"/>
    <n v="-1605.9200000000019"/>
    <n v="0.06"/>
  </r>
  <r>
    <s v="ODP-2026-1158"/>
    <d v="2026-11-11T00:00:00"/>
    <x v="0"/>
    <x v="3"/>
    <x v="3"/>
    <n v="150"/>
    <n v="128"/>
    <n v="22"/>
    <n v="210"/>
    <n v="208.29"/>
    <x v="5"/>
    <n v="31500"/>
    <n v="26661.119999999999"/>
    <n v="-4838.880000000001"/>
    <n v="0.14666666666666667"/>
  </r>
  <r>
    <s v="ODP-2026-1176"/>
    <d v="2026-11-26T00:00:00"/>
    <x v="0"/>
    <x v="1"/>
    <x v="1"/>
    <n v="150"/>
    <n v="144"/>
    <n v="6"/>
    <n v="120"/>
    <n v="113.19"/>
    <x v="5"/>
    <n v="18000"/>
    <n v="16299.36"/>
    <n v="-1700.6399999999994"/>
    <n v="0.04"/>
  </r>
  <r>
    <s v="ODP-2026-1002"/>
    <d v="2026-07-01T00:00:00"/>
    <x v="2"/>
    <x v="4"/>
    <x v="4"/>
    <n v="1000"/>
    <n v="984"/>
    <n v="16"/>
    <n v="150"/>
    <n v="146.76"/>
    <x v="1"/>
    <n v="150000"/>
    <n v="144411.84"/>
    <n v="-5588.1600000000035"/>
    <n v="1.6E-2"/>
  </r>
  <r>
    <s v="ODP-2026-1053"/>
    <d v="2026-08-14T00:00:00"/>
    <x v="1"/>
    <x v="5"/>
    <x v="5"/>
    <n v="300"/>
    <n v="281"/>
    <n v="19"/>
    <n v="35"/>
    <n v="38.33"/>
    <x v="5"/>
    <n v="10500"/>
    <n v="10770.73"/>
    <n v="270.72999999999956"/>
    <n v="6.3333333333333339E-2"/>
  </r>
  <r>
    <s v="ODP-2026-1150"/>
    <d v="2026-11-04T00:00:00"/>
    <x v="0"/>
    <x v="8"/>
    <x v="8"/>
    <n v="250"/>
    <n v="243"/>
    <n v="7"/>
    <n v="28"/>
    <n v="27.63"/>
    <x v="5"/>
    <n v="7000"/>
    <n v="6714.09"/>
    <n v="-285.90999999999985"/>
    <n v="2.8000000000000001E-2"/>
  </r>
  <r>
    <s v="ODP-2026-1131"/>
    <d v="2026-10-19T00:00:00"/>
    <x v="0"/>
    <x v="0"/>
    <x v="0"/>
    <n v="300"/>
    <n v="293"/>
    <n v="7"/>
    <n v="45"/>
    <n v="44.21"/>
    <x v="0"/>
    <n v="13500"/>
    <n v="12953.53"/>
    <n v="-546.46999999999935"/>
    <n v="2.3333333333333334E-2"/>
  </r>
  <r>
    <s v="ODP-2026-1152"/>
    <d v="2026-11-06T00:00:00"/>
    <x v="2"/>
    <x v="0"/>
    <x v="0"/>
    <n v="200"/>
    <n v="196"/>
    <n v="4"/>
    <n v="45"/>
    <n v="43.06"/>
    <x v="5"/>
    <n v="9000"/>
    <n v="8439.76"/>
    <n v="-560.23999999999978"/>
    <n v="0.02"/>
  </r>
  <r>
    <s v="ODP-2026-1104"/>
    <d v="2026-09-26T00:00:00"/>
    <x v="0"/>
    <x v="8"/>
    <x v="8"/>
    <n v="150"/>
    <n v="134"/>
    <n v="16"/>
    <n v="28"/>
    <n v="26.03"/>
    <x v="5"/>
    <n v="4200"/>
    <n v="3488.02"/>
    <n v="-711.98"/>
    <n v="0.10666666666666667"/>
  </r>
  <r>
    <s v="ODP-2026-1100"/>
    <d v="2026-09-23T00:00:00"/>
    <x v="1"/>
    <x v="4"/>
    <x v="4"/>
    <n v="150"/>
    <n v="132"/>
    <n v="18"/>
    <n v="150"/>
    <n v="143.91"/>
    <x v="5"/>
    <n v="22500"/>
    <n v="18996.12"/>
    <n v="-3503.880000000001"/>
    <n v="0.12"/>
  </r>
  <r>
    <s v="ODP-2026-1117"/>
    <d v="2026-10-07T00:00:00"/>
    <x v="1"/>
    <x v="1"/>
    <x v="1"/>
    <n v="500"/>
    <n v="479"/>
    <n v="21"/>
    <n v="120"/>
    <n v="115.35"/>
    <x v="4"/>
    <n v="60000"/>
    <n v="55252.649999999994"/>
    <n v="-4747.3500000000058"/>
    <n v="4.2000000000000003E-2"/>
  </r>
  <r>
    <s v="ODP-2026-1088"/>
    <d v="2026-09-12T00:00:00"/>
    <x v="1"/>
    <x v="7"/>
    <x v="7"/>
    <n v="1000"/>
    <n v="980"/>
    <n v="20"/>
    <n v="85"/>
    <n v="87.63"/>
    <x v="5"/>
    <n v="85000"/>
    <n v="85877.4"/>
    <n v="877.39999999999418"/>
    <n v="0.02"/>
  </r>
  <r>
    <s v="ODP-2026-1075"/>
    <d v="2026-09-01T00:00:00"/>
    <x v="0"/>
    <x v="6"/>
    <x v="6"/>
    <n v="200"/>
    <n v="178"/>
    <n v="22"/>
    <n v="340"/>
    <n v="354.3"/>
    <x v="4"/>
    <n v="68000"/>
    <n v="63065.4"/>
    <n v="-4934.5999999999985"/>
    <n v="0.11"/>
  </r>
  <r>
    <s v="ODP-2026-1122"/>
    <d v="2026-10-11T00:00:00"/>
    <x v="0"/>
    <x v="3"/>
    <x v="3"/>
    <n v="300"/>
    <n v="285"/>
    <n v="15"/>
    <n v="210"/>
    <n v="205.08"/>
    <x v="1"/>
    <n v="63000"/>
    <n v="58447.8"/>
    <n v="-4552.1999999999971"/>
    <n v="0.05"/>
  </r>
  <r>
    <s v="ODP-2026-1021"/>
    <d v="2026-07-17T00:00:00"/>
    <x v="2"/>
    <x v="0"/>
    <x v="0"/>
    <n v="1000"/>
    <n v="986"/>
    <n v="14"/>
    <n v="45"/>
    <n v="44.83"/>
    <x v="5"/>
    <n v="45000"/>
    <n v="44202.38"/>
    <n v="-797.62000000000262"/>
    <n v="1.4E-2"/>
  </r>
  <r>
    <s v="ODP-2026-1072"/>
    <d v="2026-08-30T00:00:00"/>
    <x v="1"/>
    <x v="5"/>
    <x v="5"/>
    <n v="500"/>
    <n v="493"/>
    <n v="7"/>
    <n v="35"/>
    <n v="40.619999999999997"/>
    <x v="0"/>
    <n v="17500"/>
    <n v="20025.66"/>
    <n v="2525.66"/>
    <n v="1.4E-2"/>
  </r>
  <r>
    <s v="ODP-2026-1107"/>
    <d v="2026-09-29T00:00:00"/>
    <x v="1"/>
    <x v="7"/>
    <x v="7"/>
    <n v="200"/>
    <n v="180"/>
    <n v="20"/>
    <n v="85"/>
    <n v="89.83"/>
    <x v="1"/>
    <n v="17000"/>
    <n v="16169.4"/>
    <n v="-830.60000000000036"/>
    <n v="0.1"/>
  </r>
  <r>
    <s v="ODP-2026-1015"/>
    <d v="2026-07-12T00:00:00"/>
    <x v="2"/>
    <x v="0"/>
    <x v="0"/>
    <n v="150"/>
    <n v="134"/>
    <n v="16"/>
    <n v="45"/>
    <n v="42.99"/>
    <x v="5"/>
    <n v="6750"/>
    <n v="5760.66"/>
    <n v="-989.34000000000015"/>
    <n v="0.10666666666666667"/>
  </r>
  <r>
    <s v="ODP-2026-1093"/>
    <d v="2026-09-17T00:00:00"/>
    <x v="2"/>
    <x v="3"/>
    <x v="3"/>
    <n v="500"/>
    <n v="497"/>
    <n v="3"/>
    <n v="210"/>
    <n v="205.64"/>
    <x v="2"/>
    <n v="105000"/>
    <n v="102203.07999999999"/>
    <n v="-2796.9200000000128"/>
    <n v="6.0000000000000001E-3"/>
  </r>
  <r>
    <s v="ODP-2026-1180"/>
    <d v="2026-11-30T00:00:00"/>
    <x v="0"/>
    <x v="5"/>
    <x v="5"/>
    <n v="300"/>
    <n v="286"/>
    <n v="14"/>
    <n v="35"/>
    <n v="38"/>
    <x v="4"/>
    <n v="10500"/>
    <n v="10868"/>
    <n v="368"/>
    <n v="4.6666666666666669E-2"/>
  </r>
  <r>
    <s v="ODP-2026-1103"/>
    <d v="2026-09-25T00:00:00"/>
    <x v="2"/>
    <x v="6"/>
    <x v="6"/>
    <n v="150"/>
    <n v="147"/>
    <n v="3"/>
    <n v="340"/>
    <n v="357.29"/>
    <x v="0"/>
    <n v="51000"/>
    <n v="52521.630000000005"/>
    <n v="1521.6300000000047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4D15A-7876-4B1F-BC83-9E5945237FCA}" name="2._x0009_Analisi Causali Scarto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J12" firstHeaderRow="1" firstDataRow="2" firstDataCol="1"/>
  <pivotFields count="15">
    <pivotField showAll="0"/>
    <pivotField numFmtId="1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dataField="1" numFmtId="1" showAll="0"/>
    <pivotField numFmtId="165" showAll="0"/>
    <pivotField numFmtId="165"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numFmtId="165" showAll="0"/>
    <pivotField numFmtId="165" showAll="0"/>
    <pivotField numFmtId="165" showAll="0"/>
    <pivotField numFmtId="1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QTA_SCARTO" fld="7" showDataAs="percentOfCol" baseField="10" baseItem="0" numFmtId="10"/>
  </dataFields>
  <conditionalFormats count="4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A3C24-0A5E-4E3F-8801-815752FF42E7}" name="Pivot di Reparto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32" firstHeaderRow="0" firstDataRow="1" firstDataCol="1"/>
  <pivotFields count="15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axis="axisRow" showAll="0">
      <items count="10">
        <item sd="0" x="1"/>
        <item sd="0" x="7"/>
        <item sd="0" x="4"/>
        <item sd="0" x="3"/>
        <item sd="0" x="2"/>
        <item sd="0" x="6"/>
        <item sd="0" x="0"/>
        <item sd="0" x="8"/>
        <item sd="0" x="5"/>
        <item t="default"/>
      </items>
    </pivotField>
    <pivotField axis="axisRow" showAll="0">
      <items count="10">
        <item x="0"/>
        <item x="7"/>
        <item x="5"/>
        <item x="1"/>
        <item x="8"/>
        <item x="4"/>
        <item x="6"/>
        <item x="3"/>
        <item x="2"/>
        <item t="default"/>
      </items>
    </pivotField>
    <pivotField numFmtId="1" showAll="0"/>
    <pivotField numFmtId="1" showAll="0"/>
    <pivotField numFmtId="1" showAll="0"/>
    <pivotField numFmtId="165" showAll="0"/>
    <pivotField numFmtId="165" showAll="0"/>
    <pivotField showAll="0"/>
    <pivotField numFmtId="165" showAll="0"/>
    <pivotField dataField="1" numFmtId="165" showAll="0"/>
    <pivotField dataField="1" numFmtId="165" showAll="0"/>
    <pivotField dataField="1" numFmtId="10" showAll="0"/>
  </pivotFields>
  <rowFields count="3">
    <field x="2"/>
    <field x="3"/>
    <field x="4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_EFF_COST" fld="12" baseField="0" baseItem="0" numFmtId="165"/>
    <dataField name="TOT_COST_VARIANCE(€)" fld="13" baseField="0" baseItem="0" numFmtId="165"/>
    <dataField name="AVG_SCRAP_RATE" fld="14" subtotal="average" baseField="2" baseItem="0" numFmtId="10"/>
  </dataField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028BF-555E-434E-AD89-828E870EA2AB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5:J9" firstHeaderRow="1" firstDataRow="1" firstDataCol="1"/>
  <pivotFields count="15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65" showAll="0"/>
    <pivotField numFmtId="165" showAll="0"/>
    <pivotField showAll="0"/>
    <pivotField numFmtId="165" showAll="0"/>
    <pivotField numFmtId="165" showAll="0"/>
    <pivotField dataField="1" numFmtId="165"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costamento dei Costi / Cost Variance (€)" fld="13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71682-94BA-4F31-BCB2-0337756722C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30" firstHeaderRow="1" firstDataRow="1" firstDataCol="1"/>
  <pivotFields count="15">
    <pivotField showAll="0"/>
    <pivotField numFmtId="14" showAll="0"/>
    <pivotField showAll="0"/>
    <pivotField showAll="0"/>
    <pivotField showAll="0"/>
    <pivotField numFmtId="1" showAll="0"/>
    <pivotField numFmtId="1" showAll="0"/>
    <pivotField dataField="1" numFmtId="1" showAll="0"/>
    <pivotField numFmtId="165" showAll="0"/>
    <pivotField numFmtId="165"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numFmtId="165" showAll="0"/>
    <pivotField numFmtId="165" showAll="0"/>
    <pivotField numFmtId="165" showAll="0"/>
    <pivotField numFmtId="1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TA_SCARTO" fld="7" baseField="0" baseItem="0" numFmtId="1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2B9CF-2BF5-4568-B47C-DBC961270D6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C8" firstHeaderRow="0" firstDataRow="1" firstDataCol="1"/>
  <pivotFields count="15"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65" showAll="0"/>
    <pivotField numFmtId="165" showAll="0"/>
    <pivotField showAll="0"/>
    <pivotField numFmtId="165" showAll="0"/>
    <pivotField numFmtId="165" showAll="0"/>
    <pivotField dataField="1" numFmtId="165"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ostamento dei Costi / Cost Variance (€)" fld="13" showDataAs="percentOfTotal" baseField="0" baseItem="0" numFmtId="10"/>
    <dataField name="Sum of Scostamento dei Costi / Cost Variance (€)2" fld="13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2C2CCC-4222-4B1F-956E-2DB2547FF5FA}" name="Table2" displayName="Table2" ref="A1:O181" totalsRowShown="0" dataDxfId="7">
  <autoFilter ref="A1:O181" xr:uid="{AD2C2CCC-4222-4B1F-956E-2DB2547FF5FA}"/>
  <tableColumns count="15">
    <tableColumn id="1" xr3:uid="{F8BD6DF2-D46E-4350-9806-9ED366611338}" name="ID_ORDINE_PROD" dataDxfId="17"/>
    <tableColumn id="2" xr3:uid="{E5B25D32-E8DB-40BD-8B95-701AABC3F8AE}" name="DATA_INIZIO_PROG" dataDxfId="16"/>
    <tableColumn id="3" xr3:uid="{EEC56BC3-64CF-44C0-BB4A-9015A04CCBF2}" name="LINEA_PRODUZIONE" dataDxfId="15"/>
    <tableColumn id="4" xr3:uid="{D1D9F3BB-A2DC-461E-9FB0-8139A239D45E}" name="CODICE_ARTICOLO" dataDxfId="14"/>
    <tableColumn id="5" xr3:uid="{D20136DA-CBD5-459D-A276-D007AD5B729C}" name="DESCRIZIONE_ARTICOLO" dataDxfId="13"/>
    <tableColumn id="6" xr3:uid="{AA816B00-5D21-426C-8872-A1775CA5902A}" name="QTA_LOTTO" dataDxfId="12"/>
    <tableColumn id="7" xr3:uid="{635597A0-F2B3-42EE-9EFD-D8956C6B255B}" name="QTA_PRODOTTA_EFF" dataDxfId="11"/>
    <tableColumn id="8" xr3:uid="{9C63A648-1CC8-480D-8BEA-37BD3C707169}" name="QTA_SCARTO" dataDxfId="10"/>
    <tableColumn id="9" xr3:uid="{84C6F317-575A-4731-8281-D9A7DAFE8D60}" name="COSTO_STD_UNITARIO" dataDxfId="9"/>
    <tableColumn id="10" xr3:uid="{5FC6C9DE-33DF-41DD-B8A8-22F089D2C623}" name="COSTO_EFF_UNITARIO" dataDxfId="8"/>
    <tableColumn id="11" xr3:uid="{5766B767-115B-486B-8253-6AF45E79E1D4}" name="CAUSALE_SCARTO" dataDxfId="6"/>
    <tableColumn id="14" xr3:uid="{987E40B2-4B00-4584-8941-F4EF62DBF6E7}" name="TOT_STD_COST (€)" dataDxfId="5">
      <calculatedColumnFormula>Table2[[#This Row],[QTA_LOTTO]]*Table2[[#This Row],[COSTO_STD_UNITARIO]]</calculatedColumnFormula>
    </tableColumn>
    <tableColumn id="16" xr3:uid="{32E0823F-FB5B-4100-BE3D-0D2ECC8A527E}" name="TOT_EFF_COST (€)" dataDxfId="4">
      <calculatedColumnFormula>Table2[[#This Row],[QTA_PRODOTTA_EFF]]*Table2[[#This Row],[COSTO_EFF_UNITARIO]]</calculatedColumnFormula>
    </tableColumn>
    <tableColumn id="15" xr3:uid="{74A2A785-F6E3-49A1-A8A5-DE10424494B4}" name="Scostamento dei Costi / Cost Variance (€)" dataDxfId="3">
      <calculatedColumnFormula>Table2[[#This Row],[TOT_EFF_COST (€)]]-Table2[[#This Row],[TOT_STD_COST (€)]]</calculatedColumnFormula>
    </tableColumn>
    <tableColumn id="12" xr3:uid="{4E406ECB-C865-47A7-9A3D-BED4BA65B711}" name="Tasso di Scarto / Scrap Rate (%):" dataDxfId="2" dataCellStyle="Per cent">
      <calculatedColumnFormula>Table2[[#This Row],[QTA_SCARTO]]/Table2[[#This Row],[QTA_LOTTO]]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96E88-0DB1-41D7-8378-12517F4306B5}" name="Table1" displayName="Table1" ref="A1:B10" totalsRowShown="0" headerRowDxfId="18" dataDxfId="19" tableBorderDxfId="22">
  <autoFilter ref="A1:B10" xr:uid="{8B296E88-0DB1-41D7-8378-12517F4306B5}"/>
  <sortState xmlns:xlrd2="http://schemas.microsoft.com/office/spreadsheetml/2017/richdata2" ref="A2:B10">
    <sortCondition ref="A1:A10"/>
  </sortState>
  <tableColumns count="2">
    <tableColumn id="1" xr3:uid="{9C96EB74-D9B2-49B5-831F-FE9D330CC964}" name="CODICE_ARTICOLO" dataDxfId="21"/>
    <tableColumn id="2" xr3:uid="{82F79459-3FB6-4744-850D-B7D2BF6E250F}" name="DESCRIZIONE_ARTICOLO" dataDxf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K187"/>
  <sheetViews>
    <sheetView workbookViewId="0">
      <selection activeCell="K5" sqref="K5"/>
    </sheetView>
  </sheetViews>
  <sheetFormatPr defaultRowHeight="14.4" x14ac:dyDescent="0.3"/>
  <cols>
    <col min="1" max="1" width="16.33203125" bestFit="1" customWidth="1"/>
    <col min="2" max="2" width="18.33203125" bestFit="1" customWidth="1"/>
    <col min="3" max="3" width="21.21875" bestFit="1" customWidth="1"/>
    <col min="4" max="4" width="17.21875" bestFit="1" customWidth="1"/>
    <col min="5" max="5" width="36.6640625" bestFit="1" customWidth="1"/>
    <col min="6" max="6" width="11.109375" bestFit="1" customWidth="1"/>
    <col min="7" max="7" width="19.109375" bestFit="1" customWidth="1"/>
    <col min="8" max="8" width="12.33203125" bestFit="1" customWidth="1"/>
    <col min="9" max="9" width="21" bestFit="1" customWidth="1"/>
    <col min="10" max="10" width="20.5546875" bestFit="1" customWidth="1"/>
    <col min="11" max="11" width="2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100</v>
      </c>
      <c r="G2">
        <v>80</v>
      </c>
      <c r="H2">
        <v>20</v>
      </c>
      <c r="I2">
        <v>45</v>
      </c>
      <c r="J2">
        <v>41.65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150</v>
      </c>
      <c r="G3">
        <v>148</v>
      </c>
      <c r="H3">
        <v>2</v>
      </c>
      <c r="I3">
        <v>120</v>
      </c>
      <c r="J3">
        <v>117.05</v>
      </c>
      <c r="K3" t="s">
        <v>22</v>
      </c>
    </row>
    <row r="4" spans="1:11" x14ac:dyDescent="0.3">
      <c r="A4" t="s">
        <v>23</v>
      </c>
      <c r="B4" t="s">
        <v>24</v>
      </c>
      <c r="C4" t="s">
        <v>19</v>
      </c>
      <c r="D4" t="s">
        <v>20</v>
      </c>
      <c r="E4" t="s">
        <v>21</v>
      </c>
      <c r="F4">
        <v>100</v>
      </c>
      <c r="G4">
        <v>90</v>
      </c>
      <c r="H4">
        <v>10</v>
      </c>
      <c r="I4">
        <v>120</v>
      </c>
      <c r="J4">
        <v>116.87</v>
      </c>
      <c r="K4" t="s">
        <v>25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150</v>
      </c>
      <c r="G5">
        <v>130</v>
      </c>
      <c r="H5">
        <v>20</v>
      </c>
      <c r="I5">
        <v>65</v>
      </c>
      <c r="J5">
        <v>61.71</v>
      </c>
    </row>
    <row r="6" spans="1:11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500</v>
      </c>
      <c r="G6">
        <v>493</v>
      </c>
      <c r="H6">
        <v>7</v>
      </c>
      <c r="I6">
        <v>210</v>
      </c>
      <c r="J6">
        <v>203.19</v>
      </c>
      <c r="K6" t="s">
        <v>25</v>
      </c>
    </row>
    <row r="7" spans="1:11" x14ac:dyDescent="0.3">
      <c r="A7" t="s">
        <v>36</v>
      </c>
      <c r="B7" t="s">
        <v>37</v>
      </c>
      <c r="C7" t="s">
        <v>38</v>
      </c>
      <c r="D7" t="s">
        <v>20</v>
      </c>
      <c r="E7" t="s">
        <v>21</v>
      </c>
      <c r="F7">
        <v>1000</v>
      </c>
      <c r="G7">
        <v>920</v>
      </c>
      <c r="H7">
        <v>80</v>
      </c>
      <c r="I7">
        <v>120</v>
      </c>
      <c r="J7">
        <v>115.37</v>
      </c>
      <c r="K7" t="s">
        <v>39</v>
      </c>
    </row>
    <row r="8" spans="1:11" x14ac:dyDescent="0.3">
      <c r="A8" t="s">
        <v>40</v>
      </c>
      <c r="B8" t="s">
        <v>41</v>
      </c>
      <c r="C8" t="s">
        <v>13</v>
      </c>
      <c r="D8" t="s">
        <v>42</v>
      </c>
      <c r="E8" t="s">
        <v>43</v>
      </c>
      <c r="F8">
        <v>500</v>
      </c>
      <c r="G8">
        <v>485</v>
      </c>
      <c r="H8">
        <v>15</v>
      </c>
      <c r="I8">
        <v>150</v>
      </c>
      <c r="J8">
        <v>144.9</v>
      </c>
      <c r="K8" t="s">
        <v>16</v>
      </c>
    </row>
    <row r="9" spans="1:11" x14ac:dyDescent="0.3">
      <c r="A9" t="s">
        <v>44</v>
      </c>
      <c r="B9" t="s">
        <v>45</v>
      </c>
      <c r="C9" t="s">
        <v>38</v>
      </c>
      <c r="D9" t="s">
        <v>46</v>
      </c>
      <c r="E9" t="s">
        <v>47</v>
      </c>
      <c r="F9">
        <v>500</v>
      </c>
      <c r="G9">
        <v>484</v>
      </c>
      <c r="H9">
        <v>16</v>
      </c>
      <c r="I9">
        <v>35</v>
      </c>
      <c r="J9">
        <v>38.08</v>
      </c>
      <c r="K9" t="s">
        <v>25</v>
      </c>
    </row>
    <row r="10" spans="1:11" x14ac:dyDescent="0.3">
      <c r="A10" t="s">
        <v>48</v>
      </c>
      <c r="B10" t="s">
        <v>49</v>
      </c>
      <c r="C10" t="s">
        <v>50</v>
      </c>
      <c r="D10" t="s">
        <v>46</v>
      </c>
      <c r="E10" t="s">
        <v>47</v>
      </c>
      <c r="F10">
        <v>200</v>
      </c>
      <c r="G10">
        <v>184</v>
      </c>
      <c r="H10">
        <v>16</v>
      </c>
      <c r="I10">
        <v>35</v>
      </c>
      <c r="J10">
        <v>38.58</v>
      </c>
      <c r="K10" t="s">
        <v>25</v>
      </c>
    </row>
    <row r="11" spans="1:11" x14ac:dyDescent="0.3">
      <c r="A11" t="s">
        <v>51</v>
      </c>
      <c r="B11" t="s">
        <v>52</v>
      </c>
      <c r="C11" t="s">
        <v>38</v>
      </c>
      <c r="D11" t="s">
        <v>14</v>
      </c>
      <c r="E11" t="s">
        <v>15</v>
      </c>
      <c r="F11">
        <v>200</v>
      </c>
      <c r="G11">
        <v>182</v>
      </c>
      <c r="H11">
        <v>18</v>
      </c>
      <c r="I11">
        <v>45</v>
      </c>
      <c r="J11">
        <v>43.96</v>
      </c>
      <c r="K11" t="s">
        <v>25</v>
      </c>
    </row>
    <row r="12" spans="1:11" x14ac:dyDescent="0.3">
      <c r="A12" t="s">
        <v>53</v>
      </c>
      <c r="B12" t="s">
        <v>54</v>
      </c>
      <c r="C12" t="s">
        <v>33</v>
      </c>
      <c r="D12" t="s">
        <v>14</v>
      </c>
      <c r="E12" t="s">
        <v>15</v>
      </c>
      <c r="F12">
        <v>200</v>
      </c>
      <c r="G12">
        <v>196</v>
      </c>
      <c r="H12">
        <v>4</v>
      </c>
      <c r="I12">
        <v>45</v>
      </c>
      <c r="J12">
        <v>45.49</v>
      </c>
      <c r="K12" t="s">
        <v>55</v>
      </c>
    </row>
    <row r="13" spans="1:11" x14ac:dyDescent="0.3">
      <c r="A13" t="s">
        <v>56</v>
      </c>
      <c r="B13" t="s">
        <v>57</v>
      </c>
      <c r="C13" t="s">
        <v>38</v>
      </c>
      <c r="D13" t="s">
        <v>58</v>
      </c>
      <c r="E13" t="s">
        <v>59</v>
      </c>
      <c r="F13">
        <v>250</v>
      </c>
      <c r="G13">
        <v>228</v>
      </c>
      <c r="H13">
        <v>22</v>
      </c>
      <c r="I13">
        <v>340</v>
      </c>
      <c r="J13">
        <v>354.02</v>
      </c>
      <c r="K13" t="s">
        <v>55</v>
      </c>
    </row>
    <row r="14" spans="1:11" x14ac:dyDescent="0.3">
      <c r="A14" t="s">
        <v>60</v>
      </c>
      <c r="B14" t="s">
        <v>61</v>
      </c>
      <c r="C14" t="s">
        <v>50</v>
      </c>
      <c r="D14" t="s">
        <v>46</v>
      </c>
      <c r="E14" t="s">
        <v>47</v>
      </c>
      <c r="F14">
        <v>300</v>
      </c>
      <c r="G14">
        <v>285</v>
      </c>
      <c r="H14">
        <v>15</v>
      </c>
      <c r="I14">
        <v>35</v>
      </c>
      <c r="J14">
        <v>40.44</v>
      </c>
      <c r="K14" t="s">
        <v>39</v>
      </c>
    </row>
    <row r="15" spans="1:11" x14ac:dyDescent="0.3">
      <c r="A15" t="s">
        <v>62</v>
      </c>
      <c r="B15" t="s">
        <v>63</v>
      </c>
      <c r="C15" t="s">
        <v>50</v>
      </c>
      <c r="D15" t="s">
        <v>42</v>
      </c>
      <c r="E15" t="s">
        <v>43</v>
      </c>
      <c r="F15">
        <v>150</v>
      </c>
      <c r="G15">
        <v>137</v>
      </c>
      <c r="H15">
        <v>13</v>
      </c>
      <c r="I15">
        <v>150</v>
      </c>
      <c r="J15">
        <v>144.91999999999999</v>
      </c>
      <c r="K15" t="s">
        <v>55</v>
      </c>
    </row>
    <row r="16" spans="1:11" x14ac:dyDescent="0.3">
      <c r="A16" t="s">
        <v>64</v>
      </c>
      <c r="B16" t="s">
        <v>65</v>
      </c>
      <c r="C16" t="s">
        <v>66</v>
      </c>
      <c r="D16" t="s">
        <v>20</v>
      </c>
      <c r="E16" t="s">
        <v>21</v>
      </c>
      <c r="F16">
        <v>150</v>
      </c>
      <c r="G16">
        <v>129</v>
      </c>
      <c r="H16">
        <v>21</v>
      </c>
      <c r="I16">
        <v>120</v>
      </c>
      <c r="J16">
        <v>113.38</v>
      </c>
      <c r="K16" t="s">
        <v>16</v>
      </c>
    </row>
    <row r="17" spans="1:11" x14ac:dyDescent="0.3">
      <c r="A17" t="s">
        <v>67</v>
      </c>
      <c r="B17" t="s">
        <v>68</v>
      </c>
      <c r="C17" t="s">
        <v>66</v>
      </c>
      <c r="D17" t="s">
        <v>29</v>
      </c>
      <c r="E17" t="s">
        <v>30</v>
      </c>
      <c r="F17">
        <v>100</v>
      </c>
      <c r="G17">
        <v>85</v>
      </c>
      <c r="H17">
        <v>15</v>
      </c>
      <c r="I17">
        <v>65</v>
      </c>
      <c r="J17">
        <v>61.83</v>
      </c>
      <c r="K17" t="s">
        <v>25</v>
      </c>
    </row>
    <row r="18" spans="1:11" x14ac:dyDescent="0.3">
      <c r="A18" t="s">
        <v>69</v>
      </c>
      <c r="B18" t="s">
        <v>70</v>
      </c>
      <c r="C18" t="s">
        <v>66</v>
      </c>
      <c r="D18" t="s">
        <v>46</v>
      </c>
      <c r="E18" t="s">
        <v>47</v>
      </c>
      <c r="F18">
        <v>300</v>
      </c>
      <c r="G18">
        <v>293</v>
      </c>
      <c r="H18">
        <v>7</v>
      </c>
      <c r="I18">
        <v>35</v>
      </c>
      <c r="J18">
        <v>40.6</v>
      </c>
      <c r="K18" t="s">
        <v>16</v>
      </c>
    </row>
    <row r="19" spans="1:11" x14ac:dyDescent="0.3">
      <c r="A19" t="s">
        <v>71</v>
      </c>
      <c r="B19" t="s">
        <v>72</v>
      </c>
      <c r="C19" t="s">
        <v>33</v>
      </c>
      <c r="D19" t="s">
        <v>46</v>
      </c>
      <c r="E19" t="s">
        <v>47</v>
      </c>
      <c r="F19">
        <v>200</v>
      </c>
      <c r="G19">
        <v>184</v>
      </c>
      <c r="H19">
        <v>16</v>
      </c>
      <c r="I19">
        <v>35</v>
      </c>
      <c r="J19">
        <v>39.93</v>
      </c>
      <c r="K19" t="s">
        <v>22</v>
      </c>
    </row>
    <row r="20" spans="1:11" x14ac:dyDescent="0.3">
      <c r="A20" t="s">
        <v>73</v>
      </c>
      <c r="B20" t="s">
        <v>74</v>
      </c>
      <c r="C20" t="s">
        <v>13</v>
      </c>
      <c r="D20" t="s">
        <v>14</v>
      </c>
      <c r="E20" t="s">
        <v>15</v>
      </c>
      <c r="F20">
        <v>500</v>
      </c>
      <c r="G20">
        <v>487</v>
      </c>
      <c r="H20">
        <v>13</v>
      </c>
      <c r="I20">
        <v>45</v>
      </c>
      <c r="J20">
        <v>44.94</v>
      </c>
      <c r="K20" t="s">
        <v>25</v>
      </c>
    </row>
    <row r="21" spans="1:11" x14ac:dyDescent="0.3">
      <c r="A21" t="s">
        <v>75</v>
      </c>
      <c r="B21" t="s">
        <v>76</v>
      </c>
      <c r="C21" t="s">
        <v>13</v>
      </c>
      <c r="D21" t="s">
        <v>14</v>
      </c>
      <c r="E21" t="s">
        <v>15</v>
      </c>
      <c r="F21">
        <v>150</v>
      </c>
      <c r="G21">
        <v>147</v>
      </c>
      <c r="H21">
        <v>3</v>
      </c>
      <c r="I21">
        <v>45</v>
      </c>
      <c r="J21">
        <v>40.92</v>
      </c>
      <c r="K21" t="s">
        <v>22</v>
      </c>
    </row>
    <row r="22" spans="1:11" x14ac:dyDescent="0.3">
      <c r="A22" t="s">
        <v>77</v>
      </c>
      <c r="B22" t="s">
        <v>78</v>
      </c>
      <c r="C22" t="s">
        <v>66</v>
      </c>
      <c r="D22" t="s">
        <v>46</v>
      </c>
      <c r="E22" t="s">
        <v>47</v>
      </c>
      <c r="F22">
        <v>150</v>
      </c>
      <c r="G22">
        <v>138</v>
      </c>
      <c r="H22">
        <v>12</v>
      </c>
      <c r="I22">
        <v>35</v>
      </c>
      <c r="J22">
        <v>36.909999999999997</v>
      </c>
      <c r="K22" t="s">
        <v>25</v>
      </c>
    </row>
    <row r="23" spans="1:11" x14ac:dyDescent="0.3">
      <c r="A23" t="s">
        <v>79</v>
      </c>
      <c r="B23" t="s">
        <v>80</v>
      </c>
      <c r="C23" t="s">
        <v>33</v>
      </c>
      <c r="D23" t="s">
        <v>58</v>
      </c>
      <c r="E23" t="s">
        <v>59</v>
      </c>
      <c r="F23">
        <v>250</v>
      </c>
      <c r="G23">
        <v>248</v>
      </c>
      <c r="H23">
        <v>2</v>
      </c>
      <c r="I23">
        <v>340</v>
      </c>
      <c r="J23">
        <v>355.19</v>
      </c>
      <c r="K23" t="s">
        <v>25</v>
      </c>
    </row>
    <row r="24" spans="1:11" x14ac:dyDescent="0.3">
      <c r="A24" t="s">
        <v>81</v>
      </c>
      <c r="B24" t="s">
        <v>82</v>
      </c>
      <c r="C24" t="s">
        <v>28</v>
      </c>
      <c r="D24" t="s">
        <v>20</v>
      </c>
      <c r="E24" t="s">
        <v>21</v>
      </c>
      <c r="F24">
        <v>150</v>
      </c>
      <c r="G24">
        <v>136</v>
      </c>
      <c r="H24">
        <v>14</v>
      </c>
      <c r="I24">
        <v>120</v>
      </c>
      <c r="J24">
        <v>115.9</v>
      </c>
      <c r="K24" t="s">
        <v>25</v>
      </c>
    </row>
    <row r="25" spans="1:11" x14ac:dyDescent="0.3">
      <c r="A25" t="s">
        <v>83</v>
      </c>
      <c r="B25" t="s">
        <v>84</v>
      </c>
      <c r="C25" t="s">
        <v>66</v>
      </c>
      <c r="D25" t="s">
        <v>20</v>
      </c>
      <c r="E25" t="s">
        <v>21</v>
      </c>
      <c r="F25">
        <v>500</v>
      </c>
      <c r="G25">
        <v>488</v>
      </c>
      <c r="H25">
        <v>12</v>
      </c>
      <c r="I25">
        <v>120</v>
      </c>
      <c r="J25">
        <v>116.27</v>
      </c>
      <c r="K25" t="s">
        <v>22</v>
      </c>
    </row>
    <row r="26" spans="1:11" x14ac:dyDescent="0.3">
      <c r="A26" t="s">
        <v>85</v>
      </c>
      <c r="B26" t="s">
        <v>86</v>
      </c>
      <c r="C26" t="s">
        <v>13</v>
      </c>
      <c r="D26" t="s">
        <v>58</v>
      </c>
      <c r="E26" t="s">
        <v>59</v>
      </c>
      <c r="F26">
        <v>150</v>
      </c>
      <c r="G26">
        <v>147</v>
      </c>
      <c r="H26">
        <v>3</v>
      </c>
      <c r="I26">
        <v>340</v>
      </c>
      <c r="J26">
        <v>353.43</v>
      </c>
      <c r="K26" t="s">
        <v>22</v>
      </c>
    </row>
    <row r="27" spans="1:11" x14ac:dyDescent="0.3">
      <c r="A27" t="s">
        <v>87</v>
      </c>
      <c r="B27" t="s">
        <v>88</v>
      </c>
      <c r="C27" t="s">
        <v>50</v>
      </c>
      <c r="D27" t="s">
        <v>89</v>
      </c>
      <c r="E27" t="s">
        <v>90</v>
      </c>
      <c r="F27">
        <v>300</v>
      </c>
      <c r="G27">
        <v>291</v>
      </c>
      <c r="H27">
        <v>9</v>
      </c>
      <c r="I27">
        <v>85</v>
      </c>
      <c r="J27">
        <v>88.95</v>
      </c>
      <c r="K27" t="s">
        <v>25</v>
      </c>
    </row>
    <row r="28" spans="1:11" x14ac:dyDescent="0.3">
      <c r="A28" t="s">
        <v>91</v>
      </c>
      <c r="B28" t="s">
        <v>92</v>
      </c>
      <c r="C28" t="s">
        <v>19</v>
      </c>
      <c r="D28" t="s">
        <v>58</v>
      </c>
      <c r="E28" t="s">
        <v>59</v>
      </c>
      <c r="F28">
        <v>250</v>
      </c>
      <c r="G28">
        <v>246</v>
      </c>
      <c r="H28">
        <v>4</v>
      </c>
      <c r="I28">
        <v>340</v>
      </c>
      <c r="J28">
        <v>355.65</v>
      </c>
      <c r="K28" t="s">
        <v>25</v>
      </c>
    </row>
    <row r="29" spans="1:11" x14ac:dyDescent="0.3">
      <c r="A29" t="s">
        <v>93</v>
      </c>
      <c r="B29" t="s">
        <v>94</v>
      </c>
      <c r="C29" t="s">
        <v>19</v>
      </c>
      <c r="D29" t="s">
        <v>42</v>
      </c>
      <c r="E29" t="s">
        <v>43</v>
      </c>
      <c r="F29">
        <v>200</v>
      </c>
      <c r="G29">
        <v>197</v>
      </c>
      <c r="H29">
        <v>3</v>
      </c>
      <c r="I29">
        <v>150</v>
      </c>
      <c r="J29">
        <v>145.9</v>
      </c>
      <c r="K29" t="s">
        <v>55</v>
      </c>
    </row>
    <row r="30" spans="1:11" x14ac:dyDescent="0.3">
      <c r="A30" t="s">
        <v>95</v>
      </c>
      <c r="B30" t="s">
        <v>96</v>
      </c>
      <c r="C30" t="s">
        <v>66</v>
      </c>
      <c r="D30" t="s">
        <v>46</v>
      </c>
      <c r="E30" t="s">
        <v>47</v>
      </c>
      <c r="F30">
        <v>300</v>
      </c>
      <c r="G30">
        <v>285</v>
      </c>
      <c r="H30">
        <v>15</v>
      </c>
      <c r="I30">
        <v>35</v>
      </c>
      <c r="J30">
        <v>39.82</v>
      </c>
      <c r="K30" t="s">
        <v>16</v>
      </c>
    </row>
    <row r="31" spans="1:11" x14ac:dyDescent="0.3">
      <c r="A31" t="s">
        <v>97</v>
      </c>
      <c r="B31" t="s">
        <v>98</v>
      </c>
      <c r="C31" t="s">
        <v>38</v>
      </c>
      <c r="D31" t="s">
        <v>29</v>
      </c>
      <c r="E31" t="s">
        <v>30</v>
      </c>
      <c r="F31">
        <v>300</v>
      </c>
      <c r="G31">
        <v>276</v>
      </c>
      <c r="H31">
        <v>24</v>
      </c>
      <c r="I31">
        <v>65</v>
      </c>
      <c r="J31">
        <v>64.66</v>
      </c>
      <c r="K31" t="s">
        <v>39</v>
      </c>
    </row>
    <row r="32" spans="1:11" x14ac:dyDescent="0.3">
      <c r="A32" t="s">
        <v>99</v>
      </c>
      <c r="B32" t="s">
        <v>100</v>
      </c>
      <c r="C32" t="s">
        <v>38</v>
      </c>
      <c r="D32" t="s">
        <v>46</v>
      </c>
      <c r="E32" t="s">
        <v>47</v>
      </c>
      <c r="F32">
        <v>100</v>
      </c>
      <c r="G32">
        <v>80</v>
      </c>
      <c r="H32">
        <v>20</v>
      </c>
      <c r="I32">
        <v>35</v>
      </c>
      <c r="J32">
        <v>40.57</v>
      </c>
      <c r="K32" t="s">
        <v>55</v>
      </c>
    </row>
    <row r="33" spans="1:11" x14ac:dyDescent="0.3">
      <c r="A33" t="s">
        <v>101</v>
      </c>
      <c r="B33" t="s">
        <v>102</v>
      </c>
      <c r="C33" t="s">
        <v>103</v>
      </c>
      <c r="D33" t="s">
        <v>14</v>
      </c>
      <c r="E33" t="s">
        <v>15</v>
      </c>
      <c r="F33">
        <v>100</v>
      </c>
      <c r="G33">
        <v>85</v>
      </c>
      <c r="H33">
        <v>15</v>
      </c>
      <c r="I33">
        <v>45</v>
      </c>
      <c r="J33">
        <v>43.44</v>
      </c>
      <c r="K33" t="s">
        <v>55</v>
      </c>
    </row>
    <row r="34" spans="1:11" x14ac:dyDescent="0.3">
      <c r="A34" t="s">
        <v>104</v>
      </c>
      <c r="B34" t="s">
        <v>105</v>
      </c>
      <c r="C34" t="s">
        <v>13</v>
      </c>
      <c r="D34" t="s">
        <v>20</v>
      </c>
      <c r="E34" t="s">
        <v>21</v>
      </c>
      <c r="F34">
        <v>200</v>
      </c>
      <c r="G34">
        <v>177</v>
      </c>
      <c r="H34">
        <v>23</v>
      </c>
      <c r="I34">
        <v>120</v>
      </c>
      <c r="J34">
        <v>117.25</v>
      </c>
      <c r="K34" t="s">
        <v>25</v>
      </c>
    </row>
    <row r="35" spans="1:11" x14ac:dyDescent="0.3">
      <c r="A35" t="s">
        <v>106</v>
      </c>
      <c r="B35" t="s">
        <v>107</v>
      </c>
      <c r="C35" t="s">
        <v>38</v>
      </c>
      <c r="D35" t="s">
        <v>42</v>
      </c>
      <c r="E35" t="s">
        <v>43</v>
      </c>
      <c r="F35">
        <v>100</v>
      </c>
      <c r="G35">
        <v>77</v>
      </c>
      <c r="H35">
        <v>23</v>
      </c>
      <c r="I35">
        <v>150</v>
      </c>
      <c r="J35">
        <v>145.94</v>
      </c>
      <c r="K35" t="s">
        <v>39</v>
      </c>
    </row>
    <row r="36" spans="1:11" x14ac:dyDescent="0.3">
      <c r="A36" t="s">
        <v>108</v>
      </c>
      <c r="B36" t="s">
        <v>109</v>
      </c>
      <c r="C36" t="s">
        <v>28</v>
      </c>
      <c r="D36" t="s">
        <v>58</v>
      </c>
      <c r="E36" t="s">
        <v>59</v>
      </c>
      <c r="F36">
        <v>300</v>
      </c>
      <c r="H36">
        <v>24</v>
      </c>
      <c r="I36">
        <v>340</v>
      </c>
      <c r="J36">
        <v>356.11</v>
      </c>
      <c r="K36" t="s">
        <v>22</v>
      </c>
    </row>
    <row r="37" spans="1:11" x14ac:dyDescent="0.3">
      <c r="A37" t="s">
        <v>110</v>
      </c>
      <c r="B37" t="s">
        <v>111</v>
      </c>
      <c r="C37" t="s">
        <v>103</v>
      </c>
      <c r="D37" t="s">
        <v>14</v>
      </c>
      <c r="E37" t="s">
        <v>15</v>
      </c>
      <c r="F37">
        <v>1000</v>
      </c>
      <c r="G37">
        <v>993</v>
      </c>
      <c r="H37">
        <v>7</v>
      </c>
      <c r="I37">
        <v>45</v>
      </c>
      <c r="J37">
        <v>42.06</v>
      </c>
    </row>
    <row r="38" spans="1:11" x14ac:dyDescent="0.3">
      <c r="A38" t="s">
        <v>112</v>
      </c>
      <c r="B38" t="s">
        <v>113</v>
      </c>
      <c r="C38" t="s">
        <v>28</v>
      </c>
      <c r="D38" t="s">
        <v>29</v>
      </c>
      <c r="E38" t="s">
        <v>30</v>
      </c>
      <c r="F38">
        <v>300</v>
      </c>
      <c r="G38">
        <v>287</v>
      </c>
      <c r="H38">
        <v>13</v>
      </c>
      <c r="I38">
        <v>65</v>
      </c>
      <c r="J38">
        <v>61.78</v>
      </c>
      <c r="K38" t="s">
        <v>55</v>
      </c>
    </row>
    <row r="39" spans="1:11" x14ac:dyDescent="0.3">
      <c r="A39" t="s">
        <v>114</v>
      </c>
      <c r="B39" t="s">
        <v>115</v>
      </c>
      <c r="C39" t="s">
        <v>19</v>
      </c>
      <c r="D39" t="s">
        <v>116</v>
      </c>
      <c r="E39" t="s">
        <v>117</v>
      </c>
      <c r="F39">
        <v>100</v>
      </c>
      <c r="G39">
        <v>84</v>
      </c>
      <c r="H39">
        <v>16</v>
      </c>
      <c r="I39">
        <v>28</v>
      </c>
      <c r="J39">
        <v>25.62</v>
      </c>
      <c r="K39" t="s">
        <v>55</v>
      </c>
    </row>
    <row r="40" spans="1:11" x14ac:dyDescent="0.3">
      <c r="A40" t="s">
        <v>118</v>
      </c>
      <c r="B40" t="s">
        <v>119</v>
      </c>
      <c r="C40" t="s">
        <v>38</v>
      </c>
      <c r="D40" t="s">
        <v>34</v>
      </c>
      <c r="E40" t="s">
        <v>35</v>
      </c>
      <c r="F40">
        <v>250</v>
      </c>
      <c r="G40">
        <v>244</v>
      </c>
      <c r="H40">
        <v>6</v>
      </c>
      <c r="I40">
        <v>210</v>
      </c>
      <c r="J40">
        <v>206.23</v>
      </c>
      <c r="K40" t="s">
        <v>39</v>
      </c>
    </row>
    <row r="41" spans="1:11" x14ac:dyDescent="0.3">
      <c r="A41" t="s">
        <v>120</v>
      </c>
      <c r="B41" t="s">
        <v>121</v>
      </c>
      <c r="C41" t="s">
        <v>38</v>
      </c>
      <c r="D41" t="s">
        <v>29</v>
      </c>
      <c r="E41" t="s">
        <v>30</v>
      </c>
      <c r="F41">
        <v>300</v>
      </c>
      <c r="G41">
        <v>276</v>
      </c>
      <c r="H41">
        <v>24</v>
      </c>
      <c r="I41">
        <v>65</v>
      </c>
      <c r="J41">
        <v>61.5</v>
      </c>
      <c r="K41" t="s">
        <v>55</v>
      </c>
    </row>
    <row r="42" spans="1:11" x14ac:dyDescent="0.3">
      <c r="A42" t="s">
        <v>122</v>
      </c>
      <c r="B42" t="s">
        <v>123</v>
      </c>
      <c r="C42" t="s">
        <v>103</v>
      </c>
      <c r="D42" t="s">
        <v>58</v>
      </c>
      <c r="E42" t="s">
        <v>59</v>
      </c>
      <c r="F42">
        <v>100</v>
      </c>
      <c r="G42">
        <v>92</v>
      </c>
      <c r="H42">
        <v>8</v>
      </c>
      <c r="I42">
        <v>340</v>
      </c>
      <c r="J42">
        <v>357.88</v>
      </c>
      <c r="K42" t="s">
        <v>16</v>
      </c>
    </row>
    <row r="43" spans="1:11" x14ac:dyDescent="0.3">
      <c r="A43" t="s">
        <v>124</v>
      </c>
      <c r="B43" t="s">
        <v>125</v>
      </c>
      <c r="C43" t="s">
        <v>13</v>
      </c>
      <c r="D43" t="s">
        <v>34</v>
      </c>
      <c r="E43" t="s">
        <v>35</v>
      </c>
      <c r="F43">
        <v>1000</v>
      </c>
      <c r="G43">
        <v>981</v>
      </c>
      <c r="H43">
        <v>19</v>
      </c>
      <c r="I43">
        <v>210</v>
      </c>
      <c r="J43">
        <v>205.72</v>
      </c>
      <c r="K43" t="s">
        <v>25</v>
      </c>
    </row>
    <row r="44" spans="1:11" x14ac:dyDescent="0.3">
      <c r="A44" t="s">
        <v>126</v>
      </c>
      <c r="B44" t="s">
        <v>127</v>
      </c>
      <c r="C44" t="s">
        <v>103</v>
      </c>
      <c r="D44" t="s">
        <v>34</v>
      </c>
      <c r="E44" t="s">
        <v>35</v>
      </c>
      <c r="F44">
        <v>500</v>
      </c>
      <c r="G44">
        <v>479</v>
      </c>
      <c r="H44">
        <v>21</v>
      </c>
      <c r="I44">
        <v>210</v>
      </c>
      <c r="J44">
        <v>203.37</v>
      </c>
    </row>
    <row r="45" spans="1:11" x14ac:dyDescent="0.3">
      <c r="A45" t="s">
        <v>128</v>
      </c>
      <c r="B45" t="s">
        <v>129</v>
      </c>
      <c r="C45" t="s">
        <v>38</v>
      </c>
      <c r="D45" t="s">
        <v>29</v>
      </c>
      <c r="E45" t="s">
        <v>30</v>
      </c>
      <c r="F45">
        <v>500</v>
      </c>
      <c r="G45">
        <v>492</v>
      </c>
      <c r="H45">
        <v>8</v>
      </c>
      <c r="I45">
        <v>65</v>
      </c>
      <c r="J45">
        <v>62.25</v>
      </c>
      <c r="K45" t="s">
        <v>16</v>
      </c>
    </row>
    <row r="46" spans="1:11" x14ac:dyDescent="0.3">
      <c r="A46" t="s">
        <v>130</v>
      </c>
      <c r="B46" t="s">
        <v>131</v>
      </c>
      <c r="C46" t="s">
        <v>66</v>
      </c>
      <c r="D46" t="s">
        <v>14</v>
      </c>
      <c r="E46" t="s">
        <v>15</v>
      </c>
      <c r="F46">
        <v>100</v>
      </c>
      <c r="G46">
        <v>86</v>
      </c>
      <c r="H46">
        <v>14</v>
      </c>
      <c r="I46">
        <v>45</v>
      </c>
      <c r="J46">
        <v>41.25</v>
      </c>
      <c r="K46" t="s">
        <v>25</v>
      </c>
    </row>
    <row r="47" spans="1:11" x14ac:dyDescent="0.3">
      <c r="A47" t="s">
        <v>132</v>
      </c>
      <c r="B47" t="s">
        <v>133</v>
      </c>
      <c r="C47" t="s">
        <v>38</v>
      </c>
      <c r="D47" t="s">
        <v>34</v>
      </c>
      <c r="E47" t="s">
        <v>35</v>
      </c>
      <c r="F47">
        <v>100</v>
      </c>
      <c r="G47">
        <v>77</v>
      </c>
      <c r="H47">
        <v>23</v>
      </c>
      <c r="I47">
        <v>210</v>
      </c>
      <c r="J47">
        <v>203.77</v>
      </c>
      <c r="K47" t="s">
        <v>55</v>
      </c>
    </row>
    <row r="48" spans="1:11" x14ac:dyDescent="0.3">
      <c r="A48" t="s">
        <v>134</v>
      </c>
      <c r="B48" t="s">
        <v>135</v>
      </c>
      <c r="C48" t="s">
        <v>33</v>
      </c>
      <c r="D48" t="s">
        <v>89</v>
      </c>
      <c r="E48" t="s">
        <v>90</v>
      </c>
      <c r="F48">
        <v>150</v>
      </c>
      <c r="G48">
        <v>129</v>
      </c>
      <c r="H48">
        <v>21</v>
      </c>
      <c r="I48">
        <v>85</v>
      </c>
      <c r="J48">
        <v>92.05</v>
      </c>
      <c r="K48" t="s">
        <v>25</v>
      </c>
    </row>
    <row r="49" spans="1:11" x14ac:dyDescent="0.3">
      <c r="A49" t="s">
        <v>136</v>
      </c>
      <c r="B49" t="s">
        <v>137</v>
      </c>
      <c r="C49" t="s">
        <v>19</v>
      </c>
      <c r="D49" t="s">
        <v>34</v>
      </c>
      <c r="E49" t="s">
        <v>35</v>
      </c>
      <c r="F49">
        <v>300</v>
      </c>
      <c r="G49">
        <v>276</v>
      </c>
      <c r="H49">
        <v>24</v>
      </c>
      <c r="I49">
        <v>210</v>
      </c>
      <c r="J49">
        <v>208.08</v>
      </c>
      <c r="K49" t="s">
        <v>55</v>
      </c>
    </row>
    <row r="50" spans="1:11" x14ac:dyDescent="0.3">
      <c r="A50" t="s">
        <v>138</v>
      </c>
      <c r="B50" t="s">
        <v>139</v>
      </c>
      <c r="C50" t="s">
        <v>28</v>
      </c>
      <c r="D50" t="s">
        <v>14</v>
      </c>
      <c r="E50" t="s">
        <v>15</v>
      </c>
      <c r="F50">
        <v>1000</v>
      </c>
      <c r="G50">
        <v>994</v>
      </c>
      <c r="H50">
        <v>6</v>
      </c>
      <c r="I50">
        <v>45</v>
      </c>
      <c r="J50">
        <v>44.24</v>
      </c>
      <c r="K50" t="s">
        <v>39</v>
      </c>
    </row>
    <row r="51" spans="1:11" x14ac:dyDescent="0.3">
      <c r="A51" t="s">
        <v>140</v>
      </c>
      <c r="B51" t="s">
        <v>141</v>
      </c>
      <c r="C51" t="s">
        <v>50</v>
      </c>
      <c r="D51" t="s">
        <v>20</v>
      </c>
      <c r="E51" t="s">
        <v>21</v>
      </c>
      <c r="F51">
        <v>300</v>
      </c>
      <c r="G51">
        <v>289</v>
      </c>
      <c r="H51">
        <v>11</v>
      </c>
      <c r="I51">
        <v>120</v>
      </c>
      <c r="J51">
        <v>115.76</v>
      </c>
      <c r="K51" t="s">
        <v>39</v>
      </c>
    </row>
    <row r="52" spans="1:11" x14ac:dyDescent="0.3">
      <c r="A52" t="s">
        <v>142</v>
      </c>
      <c r="B52" t="s">
        <v>143</v>
      </c>
      <c r="C52" t="s">
        <v>19</v>
      </c>
      <c r="D52" t="s">
        <v>14</v>
      </c>
      <c r="E52" t="s">
        <v>15</v>
      </c>
      <c r="F52">
        <v>500</v>
      </c>
      <c r="G52">
        <v>484</v>
      </c>
      <c r="H52">
        <v>16</v>
      </c>
      <c r="I52">
        <v>45</v>
      </c>
      <c r="J52">
        <v>45.02</v>
      </c>
      <c r="K52" t="s">
        <v>55</v>
      </c>
    </row>
    <row r="53" spans="1:11" x14ac:dyDescent="0.3">
      <c r="A53" t="s">
        <v>144</v>
      </c>
      <c r="B53" t="s">
        <v>145</v>
      </c>
      <c r="C53" t="s">
        <v>50</v>
      </c>
      <c r="D53" t="s">
        <v>14</v>
      </c>
      <c r="E53" t="s">
        <v>15</v>
      </c>
      <c r="F53">
        <v>250</v>
      </c>
      <c r="G53">
        <v>227</v>
      </c>
      <c r="H53">
        <v>23</v>
      </c>
      <c r="I53">
        <v>45</v>
      </c>
      <c r="J53">
        <v>43.18</v>
      </c>
      <c r="K53" t="s">
        <v>16</v>
      </c>
    </row>
    <row r="54" spans="1:11" x14ac:dyDescent="0.3">
      <c r="A54" t="s">
        <v>146</v>
      </c>
      <c r="B54" t="s">
        <v>147</v>
      </c>
      <c r="C54" t="s">
        <v>103</v>
      </c>
      <c r="D54" t="s">
        <v>89</v>
      </c>
      <c r="E54" t="s">
        <v>90</v>
      </c>
      <c r="F54">
        <v>200</v>
      </c>
      <c r="G54">
        <v>194</v>
      </c>
      <c r="H54">
        <v>6</v>
      </c>
      <c r="I54">
        <v>85</v>
      </c>
      <c r="J54">
        <v>91.43</v>
      </c>
      <c r="K54" t="s">
        <v>16</v>
      </c>
    </row>
    <row r="55" spans="1:11" x14ac:dyDescent="0.3">
      <c r="A55" t="s">
        <v>148</v>
      </c>
      <c r="B55" t="s">
        <v>149</v>
      </c>
      <c r="C55" t="s">
        <v>38</v>
      </c>
      <c r="D55" t="s">
        <v>116</v>
      </c>
      <c r="E55" t="s">
        <v>117</v>
      </c>
      <c r="F55">
        <v>1000</v>
      </c>
      <c r="G55">
        <v>984</v>
      </c>
      <c r="H55">
        <v>16</v>
      </c>
      <c r="I55">
        <v>28</v>
      </c>
      <c r="J55">
        <v>29.52</v>
      </c>
      <c r="K55" t="s">
        <v>25</v>
      </c>
    </row>
    <row r="56" spans="1:11" x14ac:dyDescent="0.3">
      <c r="A56" t="s">
        <v>150</v>
      </c>
      <c r="B56" t="s">
        <v>151</v>
      </c>
      <c r="C56" t="s">
        <v>50</v>
      </c>
      <c r="D56" t="s">
        <v>89</v>
      </c>
      <c r="E56" t="s">
        <v>90</v>
      </c>
      <c r="F56">
        <v>100</v>
      </c>
      <c r="G56">
        <v>77</v>
      </c>
      <c r="H56">
        <v>23</v>
      </c>
      <c r="I56">
        <v>85</v>
      </c>
      <c r="J56">
        <v>89.49</v>
      </c>
      <c r="K56" t="s">
        <v>16</v>
      </c>
    </row>
    <row r="57" spans="1:11" x14ac:dyDescent="0.3">
      <c r="A57" t="s">
        <v>152</v>
      </c>
      <c r="B57" t="s">
        <v>12</v>
      </c>
      <c r="C57" t="s">
        <v>13</v>
      </c>
      <c r="D57" t="s">
        <v>20</v>
      </c>
      <c r="E57" t="s">
        <v>21</v>
      </c>
      <c r="F57">
        <v>500</v>
      </c>
      <c r="H57">
        <v>5</v>
      </c>
      <c r="I57">
        <v>120</v>
      </c>
      <c r="J57">
        <v>114.01</v>
      </c>
      <c r="K57" t="s">
        <v>22</v>
      </c>
    </row>
    <row r="58" spans="1:11" x14ac:dyDescent="0.3">
      <c r="A58" t="s">
        <v>153</v>
      </c>
      <c r="B58" t="s">
        <v>154</v>
      </c>
      <c r="C58" t="s">
        <v>103</v>
      </c>
      <c r="D58" t="s">
        <v>20</v>
      </c>
      <c r="E58" t="s">
        <v>21</v>
      </c>
      <c r="F58">
        <v>300</v>
      </c>
      <c r="G58">
        <v>279</v>
      </c>
      <c r="H58">
        <v>21</v>
      </c>
      <c r="I58">
        <v>120</v>
      </c>
      <c r="J58">
        <v>116.94</v>
      </c>
      <c r="K58" t="s">
        <v>39</v>
      </c>
    </row>
    <row r="59" spans="1:11" x14ac:dyDescent="0.3">
      <c r="A59" t="s">
        <v>155</v>
      </c>
      <c r="B59" t="s">
        <v>156</v>
      </c>
      <c r="C59" t="s">
        <v>28</v>
      </c>
      <c r="D59" t="s">
        <v>58</v>
      </c>
      <c r="E59" t="s">
        <v>59</v>
      </c>
      <c r="F59">
        <v>250</v>
      </c>
      <c r="G59">
        <v>240</v>
      </c>
      <c r="H59">
        <v>10</v>
      </c>
      <c r="I59">
        <v>340</v>
      </c>
      <c r="J59">
        <v>356.58</v>
      </c>
      <c r="K59" t="s">
        <v>39</v>
      </c>
    </row>
    <row r="60" spans="1:11" x14ac:dyDescent="0.3">
      <c r="A60" t="s">
        <v>157</v>
      </c>
      <c r="B60" t="s">
        <v>158</v>
      </c>
      <c r="C60" t="s">
        <v>66</v>
      </c>
      <c r="D60" t="s">
        <v>14</v>
      </c>
      <c r="E60" t="s">
        <v>15</v>
      </c>
      <c r="F60">
        <v>250</v>
      </c>
      <c r="G60">
        <v>230</v>
      </c>
      <c r="H60">
        <v>20</v>
      </c>
      <c r="I60">
        <v>45</v>
      </c>
      <c r="J60">
        <v>43.26</v>
      </c>
      <c r="K60" t="s">
        <v>16</v>
      </c>
    </row>
    <row r="61" spans="1:11" x14ac:dyDescent="0.3">
      <c r="A61" t="s">
        <v>95</v>
      </c>
      <c r="B61" t="s">
        <v>96</v>
      </c>
      <c r="C61" t="s">
        <v>66</v>
      </c>
      <c r="D61" t="s">
        <v>46</v>
      </c>
      <c r="E61" t="s">
        <v>47</v>
      </c>
      <c r="F61">
        <v>300</v>
      </c>
      <c r="G61">
        <v>285</v>
      </c>
      <c r="H61">
        <v>15</v>
      </c>
      <c r="I61">
        <v>35</v>
      </c>
      <c r="J61">
        <v>39.82</v>
      </c>
      <c r="K61" t="s">
        <v>16</v>
      </c>
    </row>
    <row r="62" spans="1:11" x14ac:dyDescent="0.3">
      <c r="A62" t="s">
        <v>159</v>
      </c>
      <c r="B62" t="s">
        <v>160</v>
      </c>
      <c r="C62" t="s">
        <v>28</v>
      </c>
      <c r="D62" t="s">
        <v>116</v>
      </c>
      <c r="E62" t="s">
        <v>117</v>
      </c>
      <c r="F62">
        <v>150</v>
      </c>
      <c r="G62">
        <v>145</v>
      </c>
      <c r="H62">
        <v>5</v>
      </c>
      <c r="I62">
        <v>28</v>
      </c>
      <c r="J62">
        <v>28.76</v>
      </c>
      <c r="K62" t="s">
        <v>39</v>
      </c>
    </row>
    <row r="63" spans="1:11" x14ac:dyDescent="0.3">
      <c r="A63" t="s">
        <v>161</v>
      </c>
      <c r="B63" t="s">
        <v>162</v>
      </c>
      <c r="C63" t="s">
        <v>28</v>
      </c>
      <c r="D63" t="s">
        <v>29</v>
      </c>
      <c r="E63" t="s">
        <v>30</v>
      </c>
      <c r="F63">
        <v>300</v>
      </c>
      <c r="G63">
        <v>276</v>
      </c>
      <c r="H63">
        <v>24</v>
      </c>
      <c r="I63">
        <v>65</v>
      </c>
      <c r="J63">
        <v>63.89</v>
      </c>
      <c r="K63" t="s">
        <v>16</v>
      </c>
    </row>
    <row r="64" spans="1:11" x14ac:dyDescent="0.3">
      <c r="A64" t="s">
        <v>163</v>
      </c>
      <c r="B64" t="s">
        <v>164</v>
      </c>
      <c r="C64" t="s">
        <v>33</v>
      </c>
      <c r="D64" t="s">
        <v>29</v>
      </c>
      <c r="E64" t="s">
        <v>30</v>
      </c>
      <c r="F64">
        <v>200</v>
      </c>
      <c r="G64">
        <v>190</v>
      </c>
      <c r="H64">
        <v>10</v>
      </c>
      <c r="I64">
        <v>65</v>
      </c>
      <c r="J64">
        <v>60.78</v>
      </c>
      <c r="K64" t="s">
        <v>39</v>
      </c>
    </row>
    <row r="65" spans="1:11" x14ac:dyDescent="0.3">
      <c r="A65" t="s">
        <v>165</v>
      </c>
      <c r="B65" t="s">
        <v>166</v>
      </c>
      <c r="C65" t="s">
        <v>38</v>
      </c>
      <c r="D65" t="s">
        <v>116</v>
      </c>
      <c r="E65" t="s">
        <v>117</v>
      </c>
      <c r="F65">
        <v>500</v>
      </c>
      <c r="G65">
        <v>488</v>
      </c>
      <c r="H65">
        <v>12</v>
      </c>
      <c r="I65">
        <v>28</v>
      </c>
      <c r="J65">
        <v>25.71</v>
      </c>
      <c r="K65" t="s">
        <v>39</v>
      </c>
    </row>
    <row r="66" spans="1:11" x14ac:dyDescent="0.3">
      <c r="A66" t="s">
        <v>167</v>
      </c>
      <c r="B66" t="s">
        <v>168</v>
      </c>
      <c r="C66" t="s">
        <v>38</v>
      </c>
      <c r="D66" t="s">
        <v>20</v>
      </c>
      <c r="E66" t="s">
        <v>21</v>
      </c>
      <c r="F66">
        <v>1000</v>
      </c>
      <c r="G66">
        <v>982</v>
      </c>
      <c r="H66">
        <v>18</v>
      </c>
      <c r="I66">
        <v>120</v>
      </c>
      <c r="J66">
        <v>117.4</v>
      </c>
      <c r="K66" t="s">
        <v>25</v>
      </c>
    </row>
    <row r="67" spans="1:11" x14ac:dyDescent="0.3">
      <c r="A67" t="s">
        <v>169</v>
      </c>
      <c r="B67" t="s">
        <v>170</v>
      </c>
      <c r="C67" t="s">
        <v>50</v>
      </c>
      <c r="D67" t="s">
        <v>58</v>
      </c>
      <c r="E67" t="s">
        <v>59</v>
      </c>
      <c r="F67">
        <v>250</v>
      </c>
      <c r="G67">
        <v>226</v>
      </c>
      <c r="H67">
        <v>24</v>
      </c>
      <c r="I67">
        <v>340</v>
      </c>
      <c r="J67">
        <v>355.51</v>
      </c>
      <c r="K67" t="s">
        <v>55</v>
      </c>
    </row>
    <row r="68" spans="1:11" x14ac:dyDescent="0.3">
      <c r="A68" t="s">
        <v>171</v>
      </c>
      <c r="B68" t="s">
        <v>172</v>
      </c>
      <c r="C68" t="s">
        <v>19</v>
      </c>
      <c r="D68" t="s">
        <v>46</v>
      </c>
      <c r="E68" t="s">
        <v>47</v>
      </c>
      <c r="F68">
        <v>150</v>
      </c>
      <c r="G68">
        <v>138</v>
      </c>
      <c r="H68">
        <v>12</v>
      </c>
      <c r="I68">
        <v>35</v>
      </c>
      <c r="J68">
        <v>37.619999999999997</v>
      </c>
      <c r="K68" t="s">
        <v>25</v>
      </c>
    </row>
    <row r="69" spans="1:11" x14ac:dyDescent="0.3">
      <c r="A69" t="s">
        <v>173</v>
      </c>
      <c r="B69" t="s">
        <v>174</v>
      </c>
      <c r="C69" t="s">
        <v>33</v>
      </c>
      <c r="D69" t="s">
        <v>89</v>
      </c>
      <c r="E69" t="s">
        <v>90</v>
      </c>
      <c r="F69">
        <v>500</v>
      </c>
      <c r="G69">
        <v>480</v>
      </c>
      <c r="H69">
        <v>20</v>
      </c>
      <c r="I69">
        <v>85</v>
      </c>
      <c r="J69">
        <v>91.08</v>
      </c>
      <c r="K69" t="s">
        <v>39</v>
      </c>
    </row>
    <row r="70" spans="1:11" x14ac:dyDescent="0.3">
      <c r="A70" t="s">
        <v>175</v>
      </c>
      <c r="B70" t="s">
        <v>176</v>
      </c>
      <c r="C70" t="s">
        <v>38</v>
      </c>
      <c r="D70" t="s">
        <v>58</v>
      </c>
      <c r="E70" t="s">
        <v>59</v>
      </c>
      <c r="F70">
        <v>250</v>
      </c>
      <c r="G70">
        <v>234</v>
      </c>
      <c r="H70">
        <v>16</v>
      </c>
      <c r="I70">
        <v>340</v>
      </c>
      <c r="J70">
        <v>354.87</v>
      </c>
      <c r="K70" t="s">
        <v>16</v>
      </c>
    </row>
    <row r="71" spans="1:11" x14ac:dyDescent="0.3">
      <c r="A71" t="s">
        <v>177</v>
      </c>
      <c r="B71" t="s">
        <v>178</v>
      </c>
      <c r="C71" t="s">
        <v>33</v>
      </c>
      <c r="D71" t="s">
        <v>20</v>
      </c>
      <c r="E71" t="s">
        <v>21</v>
      </c>
      <c r="F71">
        <v>500</v>
      </c>
      <c r="G71">
        <v>493</v>
      </c>
      <c r="H71">
        <v>7</v>
      </c>
      <c r="I71">
        <v>120</v>
      </c>
      <c r="J71">
        <v>114.83</v>
      </c>
      <c r="K71" t="s">
        <v>22</v>
      </c>
    </row>
    <row r="72" spans="1:11" x14ac:dyDescent="0.3">
      <c r="A72" t="s">
        <v>179</v>
      </c>
      <c r="B72" t="s">
        <v>180</v>
      </c>
      <c r="C72" t="s">
        <v>103</v>
      </c>
      <c r="D72" t="s">
        <v>89</v>
      </c>
      <c r="E72" t="s">
        <v>90</v>
      </c>
      <c r="F72">
        <v>500</v>
      </c>
      <c r="G72">
        <v>494</v>
      </c>
      <c r="H72">
        <v>6</v>
      </c>
      <c r="I72">
        <v>85</v>
      </c>
      <c r="J72">
        <v>89</v>
      </c>
      <c r="K72" t="s">
        <v>16</v>
      </c>
    </row>
    <row r="73" spans="1:11" x14ac:dyDescent="0.3">
      <c r="A73" t="s">
        <v>181</v>
      </c>
      <c r="B73" t="s">
        <v>182</v>
      </c>
      <c r="C73" t="s">
        <v>103</v>
      </c>
      <c r="D73" t="s">
        <v>29</v>
      </c>
      <c r="E73" t="s">
        <v>30</v>
      </c>
      <c r="F73">
        <v>100</v>
      </c>
      <c r="G73">
        <v>96</v>
      </c>
      <c r="H73">
        <v>4</v>
      </c>
      <c r="I73">
        <v>65</v>
      </c>
      <c r="J73">
        <v>62.93</v>
      </c>
      <c r="K73" t="s">
        <v>16</v>
      </c>
    </row>
    <row r="74" spans="1:11" x14ac:dyDescent="0.3">
      <c r="A74" t="s">
        <v>183</v>
      </c>
      <c r="B74" t="s">
        <v>184</v>
      </c>
      <c r="C74" t="s">
        <v>38</v>
      </c>
      <c r="D74" t="s">
        <v>46</v>
      </c>
      <c r="E74" t="s">
        <v>47</v>
      </c>
      <c r="F74">
        <v>1000</v>
      </c>
      <c r="G74">
        <v>987</v>
      </c>
      <c r="H74">
        <v>13</v>
      </c>
      <c r="I74">
        <v>35</v>
      </c>
      <c r="J74">
        <v>38.520000000000003</v>
      </c>
      <c r="K74" t="s">
        <v>55</v>
      </c>
    </row>
    <row r="75" spans="1:11" x14ac:dyDescent="0.3">
      <c r="A75" t="s">
        <v>185</v>
      </c>
      <c r="B75" t="s">
        <v>186</v>
      </c>
      <c r="C75" t="s">
        <v>33</v>
      </c>
      <c r="D75" t="s">
        <v>46</v>
      </c>
      <c r="E75" t="s">
        <v>47</v>
      </c>
      <c r="F75">
        <v>200</v>
      </c>
      <c r="G75">
        <v>190</v>
      </c>
      <c r="H75">
        <v>10</v>
      </c>
      <c r="I75">
        <v>35</v>
      </c>
      <c r="J75">
        <v>38.78</v>
      </c>
      <c r="K75" t="s">
        <v>55</v>
      </c>
    </row>
    <row r="76" spans="1:11" x14ac:dyDescent="0.3">
      <c r="A76" t="s">
        <v>187</v>
      </c>
      <c r="B76" t="s">
        <v>188</v>
      </c>
      <c r="C76" t="s">
        <v>38</v>
      </c>
      <c r="D76" t="s">
        <v>46</v>
      </c>
      <c r="E76" t="s">
        <v>47</v>
      </c>
      <c r="F76">
        <v>150</v>
      </c>
      <c r="G76">
        <v>132</v>
      </c>
      <c r="H76">
        <v>18</v>
      </c>
      <c r="I76">
        <v>35</v>
      </c>
      <c r="J76">
        <v>38.97</v>
      </c>
      <c r="K76" t="s">
        <v>25</v>
      </c>
    </row>
    <row r="77" spans="1:11" x14ac:dyDescent="0.3">
      <c r="A77" t="s">
        <v>189</v>
      </c>
      <c r="B77" t="s">
        <v>190</v>
      </c>
      <c r="C77" t="s">
        <v>33</v>
      </c>
      <c r="D77" t="s">
        <v>116</v>
      </c>
      <c r="E77" t="s">
        <v>117</v>
      </c>
      <c r="F77">
        <v>100</v>
      </c>
      <c r="G77">
        <v>85</v>
      </c>
      <c r="H77">
        <v>15</v>
      </c>
      <c r="I77">
        <v>28</v>
      </c>
      <c r="J77">
        <v>28.78</v>
      </c>
      <c r="K77" t="s">
        <v>55</v>
      </c>
    </row>
    <row r="78" spans="1:11" x14ac:dyDescent="0.3">
      <c r="A78" t="s">
        <v>191</v>
      </c>
      <c r="B78" t="s">
        <v>192</v>
      </c>
      <c r="C78" t="s">
        <v>19</v>
      </c>
      <c r="D78" t="s">
        <v>34</v>
      </c>
      <c r="E78" t="s">
        <v>35</v>
      </c>
      <c r="F78">
        <v>200</v>
      </c>
      <c r="G78">
        <v>195</v>
      </c>
      <c r="H78">
        <v>5</v>
      </c>
      <c r="I78">
        <v>210</v>
      </c>
      <c r="J78">
        <v>203.18</v>
      </c>
      <c r="K78" t="s">
        <v>25</v>
      </c>
    </row>
    <row r="79" spans="1:11" x14ac:dyDescent="0.3">
      <c r="A79" t="s">
        <v>193</v>
      </c>
      <c r="B79" t="s">
        <v>194</v>
      </c>
      <c r="C79" t="s">
        <v>66</v>
      </c>
      <c r="D79" t="s">
        <v>116</v>
      </c>
      <c r="E79" t="s">
        <v>117</v>
      </c>
      <c r="F79">
        <v>150</v>
      </c>
      <c r="G79">
        <v>138</v>
      </c>
      <c r="H79">
        <v>12</v>
      </c>
      <c r="I79">
        <v>28</v>
      </c>
      <c r="J79">
        <v>29.45</v>
      </c>
      <c r="K79" t="s">
        <v>55</v>
      </c>
    </row>
    <row r="80" spans="1:11" x14ac:dyDescent="0.3">
      <c r="A80" t="s">
        <v>195</v>
      </c>
      <c r="B80" t="s">
        <v>196</v>
      </c>
      <c r="C80" t="s">
        <v>66</v>
      </c>
      <c r="D80" t="s">
        <v>14</v>
      </c>
      <c r="E80" t="s">
        <v>15</v>
      </c>
      <c r="F80">
        <v>100</v>
      </c>
      <c r="G80">
        <v>93</v>
      </c>
      <c r="H80">
        <v>7</v>
      </c>
      <c r="I80">
        <v>45</v>
      </c>
      <c r="J80">
        <v>44.15</v>
      </c>
      <c r="K80" t="s">
        <v>55</v>
      </c>
    </row>
    <row r="81" spans="1:11" x14ac:dyDescent="0.3">
      <c r="A81" t="s">
        <v>197</v>
      </c>
      <c r="B81" t="s">
        <v>198</v>
      </c>
      <c r="C81" t="s">
        <v>28</v>
      </c>
      <c r="D81" t="s">
        <v>46</v>
      </c>
      <c r="E81" t="s">
        <v>47</v>
      </c>
      <c r="F81">
        <v>500</v>
      </c>
      <c r="G81">
        <v>488</v>
      </c>
      <c r="H81">
        <v>12</v>
      </c>
      <c r="I81">
        <v>35</v>
      </c>
      <c r="J81">
        <v>38.090000000000003</v>
      </c>
      <c r="K81" t="s">
        <v>16</v>
      </c>
    </row>
    <row r="82" spans="1:11" x14ac:dyDescent="0.3">
      <c r="A82" t="s">
        <v>199</v>
      </c>
      <c r="B82" t="s">
        <v>200</v>
      </c>
      <c r="C82" t="s">
        <v>33</v>
      </c>
      <c r="D82" t="s">
        <v>58</v>
      </c>
      <c r="E82" t="s">
        <v>59</v>
      </c>
      <c r="F82">
        <v>500</v>
      </c>
      <c r="G82">
        <v>489</v>
      </c>
      <c r="H82">
        <v>11</v>
      </c>
      <c r="I82">
        <v>340</v>
      </c>
      <c r="J82">
        <v>354.84</v>
      </c>
      <c r="K82" t="s">
        <v>25</v>
      </c>
    </row>
    <row r="83" spans="1:11" x14ac:dyDescent="0.3">
      <c r="A83" t="s">
        <v>201</v>
      </c>
      <c r="B83" t="s">
        <v>202</v>
      </c>
      <c r="C83" t="s">
        <v>38</v>
      </c>
      <c r="D83" t="s">
        <v>89</v>
      </c>
      <c r="E83" t="s">
        <v>90</v>
      </c>
      <c r="F83">
        <v>100</v>
      </c>
      <c r="G83">
        <v>76</v>
      </c>
      <c r="H83">
        <v>24</v>
      </c>
      <c r="I83">
        <v>85</v>
      </c>
      <c r="J83">
        <v>91.33</v>
      </c>
      <c r="K83" t="s">
        <v>39</v>
      </c>
    </row>
    <row r="84" spans="1:11" x14ac:dyDescent="0.3">
      <c r="A84" t="s">
        <v>203</v>
      </c>
      <c r="B84" t="s">
        <v>204</v>
      </c>
      <c r="C84" t="s">
        <v>66</v>
      </c>
      <c r="D84" t="s">
        <v>20</v>
      </c>
      <c r="E84" t="s">
        <v>21</v>
      </c>
      <c r="F84">
        <v>1000</v>
      </c>
      <c r="G84">
        <v>990</v>
      </c>
      <c r="H84">
        <v>10</v>
      </c>
      <c r="I84">
        <v>120</v>
      </c>
      <c r="J84">
        <v>114.4</v>
      </c>
      <c r="K84" t="s">
        <v>16</v>
      </c>
    </row>
    <row r="85" spans="1:11" x14ac:dyDescent="0.3">
      <c r="A85" t="s">
        <v>205</v>
      </c>
      <c r="B85" t="s">
        <v>206</v>
      </c>
      <c r="C85" t="s">
        <v>28</v>
      </c>
      <c r="D85" t="s">
        <v>20</v>
      </c>
      <c r="E85" t="s">
        <v>21</v>
      </c>
      <c r="F85">
        <v>1000</v>
      </c>
      <c r="G85">
        <v>982</v>
      </c>
      <c r="H85">
        <v>18</v>
      </c>
      <c r="I85">
        <v>120</v>
      </c>
      <c r="J85">
        <v>115.15</v>
      </c>
      <c r="K85" t="s">
        <v>55</v>
      </c>
    </row>
    <row r="86" spans="1:11" x14ac:dyDescent="0.3">
      <c r="A86" t="s">
        <v>207</v>
      </c>
      <c r="B86" t="s">
        <v>208</v>
      </c>
      <c r="C86" t="s">
        <v>38</v>
      </c>
      <c r="D86" t="s">
        <v>42</v>
      </c>
      <c r="E86" t="s">
        <v>43</v>
      </c>
      <c r="F86">
        <v>100</v>
      </c>
      <c r="G86">
        <v>92</v>
      </c>
      <c r="H86">
        <v>8</v>
      </c>
      <c r="I86">
        <v>150</v>
      </c>
      <c r="J86">
        <v>146.44</v>
      </c>
      <c r="K86" t="s">
        <v>25</v>
      </c>
    </row>
    <row r="87" spans="1:11" x14ac:dyDescent="0.3">
      <c r="A87" t="s">
        <v>209</v>
      </c>
      <c r="B87" t="s">
        <v>210</v>
      </c>
      <c r="C87" t="s">
        <v>103</v>
      </c>
      <c r="D87" t="s">
        <v>14</v>
      </c>
      <c r="E87" t="s">
        <v>15</v>
      </c>
      <c r="F87">
        <v>300</v>
      </c>
      <c r="G87">
        <v>294</v>
      </c>
      <c r="H87">
        <v>6</v>
      </c>
      <c r="I87">
        <v>45</v>
      </c>
      <c r="J87">
        <v>40.42</v>
      </c>
      <c r="K87" t="s">
        <v>39</v>
      </c>
    </row>
    <row r="88" spans="1:11" x14ac:dyDescent="0.3">
      <c r="A88" t="s">
        <v>211</v>
      </c>
      <c r="B88" t="s">
        <v>212</v>
      </c>
      <c r="C88" t="s">
        <v>38</v>
      </c>
      <c r="D88" t="s">
        <v>34</v>
      </c>
      <c r="E88" t="s">
        <v>35</v>
      </c>
      <c r="F88">
        <v>300</v>
      </c>
      <c r="G88">
        <v>276</v>
      </c>
      <c r="H88">
        <v>24</v>
      </c>
      <c r="I88">
        <v>210</v>
      </c>
      <c r="J88">
        <v>206.24</v>
      </c>
      <c r="K88" t="s">
        <v>39</v>
      </c>
    </row>
    <row r="89" spans="1:11" x14ac:dyDescent="0.3">
      <c r="A89" t="s">
        <v>213</v>
      </c>
      <c r="B89" t="s">
        <v>214</v>
      </c>
      <c r="C89" t="s">
        <v>66</v>
      </c>
      <c r="D89" t="s">
        <v>116</v>
      </c>
      <c r="E89" t="s">
        <v>117</v>
      </c>
      <c r="F89">
        <v>500</v>
      </c>
      <c r="G89">
        <v>477</v>
      </c>
      <c r="H89">
        <v>23</v>
      </c>
      <c r="I89">
        <v>28</v>
      </c>
      <c r="J89">
        <v>25.18</v>
      </c>
      <c r="K89" t="s">
        <v>25</v>
      </c>
    </row>
    <row r="90" spans="1:11" x14ac:dyDescent="0.3">
      <c r="A90" t="s">
        <v>215</v>
      </c>
      <c r="B90" t="s">
        <v>216</v>
      </c>
      <c r="C90" t="s">
        <v>38</v>
      </c>
      <c r="D90" t="s">
        <v>89</v>
      </c>
      <c r="E90" t="s">
        <v>90</v>
      </c>
      <c r="F90">
        <v>200</v>
      </c>
      <c r="G90">
        <v>197</v>
      </c>
      <c r="H90">
        <v>3</v>
      </c>
      <c r="I90">
        <v>85</v>
      </c>
      <c r="J90">
        <v>91.62</v>
      </c>
      <c r="K90" t="s">
        <v>39</v>
      </c>
    </row>
    <row r="91" spans="1:11" x14ac:dyDescent="0.3">
      <c r="A91" t="s">
        <v>217</v>
      </c>
      <c r="B91" t="s">
        <v>218</v>
      </c>
      <c r="C91" t="s">
        <v>66</v>
      </c>
      <c r="D91" t="s">
        <v>42</v>
      </c>
      <c r="E91" t="s">
        <v>43</v>
      </c>
      <c r="F91">
        <v>150</v>
      </c>
      <c r="G91">
        <v>136</v>
      </c>
      <c r="H91">
        <v>14</v>
      </c>
      <c r="I91">
        <v>150</v>
      </c>
      <c r="J91">
        <v>143.57</v>
      </c>
      <c r="K91" t="s">
        <v>25</v>
      </c>
    </row>
    <row r="92" spans="1:11" x14ac:dyDescent="0.3">
      <c r="A92" t="s">
        <v>219</v>
      </c>
      <c r="B92" t="s">
        <v>220</v>
      </c>
      <c r="C92" t="s">
        <v>50</v>
      </c>
      <c r="D92" t="s">
        <v>58</v>
      </c>
      <c r="E92" t="s">
        <v>59</v>
      </c>
      <c r="F92">
        <v>500</v>
      </c>
      <c r="G92">
        <v>493</v>
      </c>
      <c r="H92">
        <v>7</v>
      </c>
      <c r="I92">
        <v>340</v>
      </c>
      <c r="J92">
        <v>354.37</v>
      </c>
      <c r="K92" t="s">
        <v>39</v>
      </c>
    </row>
    <row r="93" spans="1:11" x14ac:dyDescent="0.3">
      <c r="A93" t="s">
        <v>221</v>
      </c>
      <c r="B93" t="s">
        <v>222</v>
      </c>
      <c r="C93" t="s">
        <v>103</v>
      </c>
      <c r="D93" t="s">
        <v>46</v>
      </c>
      <c r="E93" t="s">
        <v>47</v>
      </c>
      <c r="F93">
        <v>150</v>
      </c>
      <c r="G93">
        <v>139</v>
      </c>
      <c r="H93">
        <v>11</v>
      </c>
      <c r="I93">
        <v>35</v>
      </c>
      <c r="J93">
        <v>36.130000000000003</v>
      </c>
      <c r="K93" t="s">
        <v>55</v>
      </c>
    </row>
    <row r="94" spans="1:11" x14ac:dyDescent="0.3">
      <c r="A94" t="s">
        <v>223</v>
      </c>
      <c r="B94" t="s">
        <v>224</v>
      </c>
      <c r="C94" t="s">
        <v>13</v>
      </c>
      <c r="D94" t="s">
        <v>89</v>
      </c>
      <c r="E94" t="s">
        <v>90</v>
      </c>
      <c r="F94">
        <v>1000</v>
      </c>
      <c r="G94">
        <v>982</v>
      </c>
      <c r="H94">
        <v>18</v>
      </c>
      <c r="I94">
        <v>85</v>
      </c>
      <c r="J94">
        <v>90.29</v>
      </c>
      <c r="K94" t="s">
        <v>55</v>
      </c>
    </row>
    <row r="95" spans="1:11" x14ac:dyDescent="0.3">
      <c r="A95" t="s">
        <v>225</v>
      </c>
      <c r="B95" t="s">
        <v>226</v>
      </c>
      <c r="C95" t="s">
        <v>33</v>
      </c>
      <c r="D95" t="s">
        <v>29</v>
      </c>
      <c r="E95" t="s">
        <v>30</v>
      </c>
      <c r="F95">
        <v>150</v>
      </c>
      <c r="G95">
        <v>144</v>
      </c>
      <c r="H95">
        <v>6</v>
      </c>
      <c r="I95">
        <v>65</v>
      </c>
      <c r="J95">
        <v>63.07</v>
      </c>
      <c r="K95" t="s">
        <v>22</v>
      </c>
    </row>
    <row r="96" spans="1:11" x14ac:dyDescent="0.3">
      <c r="A96" t="s">
        <v>227</v>
      </c>
      <c r="B96" t="s">
        <v>228</v>
      </c>
      <c r="C96" t="s">
        <v>13</v>
      </c>
      <c r="D96" t="s">
        <v>46</v>
      </c>
      <c r="E96" t="s">
        <v>47</v>
      </c>
      <c r="F96">
        <v>150</v>
      </c>
      <c r="G96">
        <v>138</v>
      </c>
      <c r="H96">
        <v>12</v>
      </c>
      <c r="I96">
        <v>35</v>
      </c>
      <c r="J96">
        <v>36.79</v>
      </c>
      <c r="K96" t="s">
        <v>39</v>
      </c>
    </row>
    <row r="97" spans="1:11" x14ac:dyDescent="0.3">
      <c r="A97" t="s">
        <v>229</v>
      </c>
      <c r="B97" t="s">
        <v>230</v>
      </c>
      <c r="C97" t="s">
        <v>66</v>
      </c>
      <c r="D97" t="s">
        <v>116</v>
      </c>
      <c r="E97" t="s">
        <v>117</v>
      </c>
      <c r="F97">
        <v>300</v>
      </c>
      <c r="G97">
        <v>282</v>
      </c>
      <c r="H97">
        <v>18</v>
      </c>
      <c r="I97">
        <v>28</v>
      </c>
      <c r="J97">
        <v>27.17</v>
      </c>
      <c r="K97" t="s">
        <v>39</v>
      </c>
    </row>
    <row r="98" spans="1:11" x14ac:dyDescent="0.3">
      <c r="A98" t="s">
        <v>231</v>
      </c>
      <c r="B98" t="s">
        <v>232</v>
      </c>
      <c r="C98" t="s">
        <v>13</v>
      </c>
      <c r="D98" t="s">
        <v>89</v>
      </c>
      <c r="E98" t="s">
        <v>90</v>
      </c>
      <c r="F98">
        <v>100</v>
      </c>
      <c r="G98">
        <v>98</v>
      </c>
      <c r="H98">
        <v>2</v>
      </c>
      <c r="I98">
        <v>85</v>
      </c>
      <c r="J98">
        <v>89.24</v>
      </c>
      <c r="K98" t="s">
        <v>16</v>
      </c>
    </row>
    <row r="99" spans="1:11" x14ac:dyDescent="0.3">
      <c r="A99" t="s">
        <v>233</v>
      </c>
      <c r="B99" t="s">
        <v>234</v>
      </c>
      <c r="C99" t="s">
        <v>50</v>
      </c>
      <c r="D99" t="s">
        <v>89</v>
      </c>
      <c r="E99" t="s">
        <v>90</v>
      </c>
      <c r="F99">
        <v>1000</v>
      </c>
      <c r="G99">
        <v>994</v>
      </c>
      <c r="H99">
        <v>6</v>
      </c>
      <c r="I99">
        <v>85</v>
      </c>
      <c r="J99">
        <v>90.03</v>
      </c>
      <c r="K99" t="s">
        <v>55</v>
      </c>
    </row>
    <row r="100" spans="1:11" x14ac:dyDescent="0.3">
      <c r="A100" t="s">
        <v>235</v>
      </c>
      <c r="B100" t="s">
        <v>236</v>
      </c>
      <c r="C100" t="s">
        <v>13</v>
      </c>
      <c r="D100" t="s">
        <v>14</v>
      </c>
      <c r="E100" t="s">
        <v>15</v>
      </c>
      <c r="F100">
        <v>100</v>
      </c>
      <c r="G100">
        <v>84</v>
      </c>
      <c r="H100">
        <v>16</v>
      </c>
      <c r="I100">
        <v>45</v>
      </c>
      <c r="J100">
        <v>44.14</v>
      </c>
      <c r="K100" t="s">
        <v>39</v>
      </c>
    </row>
    <row r="101" spans="1:11" x14ac:dyDescent="0.3">
      <c r="A101" t="s">
        <v>237</v>
      </c>
      <c r="B101" t="s">
        <v>238</v>
      </c>
      <c r="C101" t="s">
        <v>28</v>
      </c>
      <c r="D101" t="s">
        <v>46</v>
      </c>
      <c r="E101" t="s">
        <v>47</v>
      </c>
      <c r="F101">
        <v>200</v>
      </c>
      <c r="H101">
        <v>8</v>
      </c>
      <c r="I101">
        <v>35</v>
      </c>
      <c r="J101">
        <v>39.15</v>
      </c>
      <c r="K101" t="s">
        <v>39</v>
      </c>
    </row>
    <row r="102" spans="1:11" x14ac:dyDescent="0.3">
      <c r="A102" t="s">
        <v>239</v>
      </c>
      <c r="B102" t="s">
        <v>240</v>
      </c>
      <c r="C102" t="s">
        <v>13</v>
      </c>
      <c r="D102" t="s">
        <v>89</v>
      </c>
      <c r="E102" t="s">
        <v>90</v>
      </c>
      <c r="F102">
        <v>200</v>
      </c>
      <c r="G102">
        <v>186</v>
      </c>
      <c r="H102">
        <v>14</v>
      </c>
      <c r="I102">
        <v>85</v>
      </c>
      <c r="J102">
        <v>91.4</v>
      </c>
      <c r="K102" t="s">
        <v>39</v>
      </c>
    </row>
    <row r="103" spans="1:11" x14ac:dyDescent="0.3">
      <c r="A103" t="s">
        <v>241</v>
      </c>
      <c r="B103" t="s">
        <v>242</v>
      </c>
      <c r="C103" t="s">
        <v>66</v>
      </c>
      <c r="D103" t="s">
        <v>89</v>
      </c>
      <c r="E103" t="s">
        <v>90</v>
      </c>
      <c r="F103">
        <v>500</v>
      </c>
      <c r="G103">
        <v>495</v>
      </c>
      <c r="H103">
        <v>5</v>
      </c>
      <c r="I103">
        <v>85</v>
      </c>
      <c r="J103">
        <v>90.34</v>
      </c>
      <c r="K103" t="s">
        <v>22</v>
      </c>
    </row>
    <row r="104" spans="1:11" x14ac:dyDescent="0.3">
      <c r="A104" t="s">
        <v>243</v>
      </c>
      <c r="B104" t="s">
        <v>244</v>
      </c>
      <c r="C104" t="s">
        <v>28</v>
      </c>
      <c r="D104" t="s">
        <v>46</v>
      </c>
      <c r="E104" t="s">
        <v>47</v>
      </c>
      <c r="F104">
        <v>250</v>
      </c>
      <c r="G104">
        <v>226</v>
      </c>
      <c r="H104">
        <v>24</v>
      </c>
      <c r="I104">
        <v>35</v>
      </c>
      <c r="J104">
        <v>37.71</v>
      </c>
      <c r="K104" t="s">
        <v>16</v>
      </c>
    </row>
    <row r="105" spans="1:11" x14ac:dyDescent="0.3">
      <c r="A105" t="s">
        <v>245</v>
      </c>
      <c r="B105" t="s">
        <v>246</v>
      </c>
      <c r="C105" t="s">
        <v>103</v>
      </c>
      <c r="D105" t="s">
        <v>20</v>
      </c>
      <c r="E105" t="s">
        <v>21</v>
      </c>
      <c r="F105">
        <v>100</v>
      </c>
      <c r="G105">
        <v>90</v>
      </c>
      <c r="H105">
        <v>10</v>
      </c>
      <c r="I105">
        <v>120</v>
      </c>
      <c r="J105">
        <v>114.13</v>
      </c>
      <c r="K105" t="s">
        <v>16</v>
      </c>
    </row>
    <row r="106" spans="1:11" x14ac:dyDescent="0.3">
      <c r="A106" t="s">
        <v>247</v>
      </c>
      <c r="B106" t="s">
        <v>248</v>
      </c>
      <c r="C106" t="s">
        <v>19</v>
      </c>
      <c r="D106" t="s">
        <v>89</v>
      </c>
      <c r="E106" t="s">
        <v>90</v>
      </c>
      <c r="F106">
        <v>1000</v>
      </c>
      <c r="G106">
        <v>992</v>
      </c>
      <c r="H106">
        <v>8</v>
      </c>
      <c r="I106">
        <v>85</v>
      </c>
      <c r="J106">
        <v>89.97</v>
      </c>
      <c r="K106" t="s">
        <v>55</v>
      </c>
    </row>
    <row r="107" spans="1:11" x14ac:dyDescent="0.3">
      <c r="A107" t="s">
        <v>249</v>
      </c>
      <c r="B107" t="s">
        <v>250</v>
      </c>
      <c r="C107" t="s">
        <v>28</v>
      </c>
      <c r="D107" t="s">
        <v>34</v>
      </c>
      <c r="E107" t="s">
        <v>35</v>
      </c>
      <c r="F107">
        <v>1000</v>
      </c>
      <c r="G107">
        <v>979</v>
      </c>
      <c r="H107">
        <v>21</v>
      </c>
      <c r="I107">
        <v>210</v>
      </c>
      <c r="J107">
        <v>204.7</v>
      </c>
      <c r="K107" t="s">
        <v>16</v>
      </c>
    </row>
    <row r="108" spans="1:11" x14ac:dyDescent="0.3">
      <c r="A108" t="s">
        <v>251</v>
      </c>
      <c r="B108" t="s">
        <v>252</v>
      </c>
      <c r="C108" t="s">
        <v>28</v>
      </c>
      <c r="D108" t="s">
        <v>20</v>
      </c>
      <c r="E108" t="s">
        <v>21</v>
      </c>
      <c r="F108">
        <v>1000</v>
      </c>
      <c r="G108">
        <v>996</v>
      </c>
      <c r="H108">
        <v>4</v>
      </c>
      <c r="I108">
        <v>120</v>
      </c>
      <c r="J108">
        <v>116.32</v>
      </c>
      <c r="K108" t="s">
        <v>16</v>
      </c>
    </row>
    <row r="109" spans="1:11" x14ac:dyDescent="0.3">
      <c r="A109" t="s">
        <v>253</v>
      </c>
      <c r="B109" t="s">
        <v>254</v>
      </c>
      <c r="C109" t="s">
        <v>103</v>
      </c>
      <c r="D109" t="s">
        <v>34</v>
      </c>
      <c r="E109" t="s">
        <v>35</v>
      </c>
      <c r="F109">
        <v>100</v>
      </c>
      <c r="G109">
        <v>93</v>
      </c>
      <c r="H109">
        <v>7</v>
      </c>
      <c r="I109">
        <v>210</v>
      </c>
      <c r="J109">
        <v>207.61</v>
      </c>
      <c r="K109" t="s">
        <v>22</v>
      </c>
    </row>
    <row r="110" spans="1:11" x14ac:dyDescent="0.3">
      <c r="A110" t="s">
        <v>255</v>
      </c>
      <c r="B110" t="s">
        <v>256</v>
      </c>
      <c r="C110" t="s">
        <v>38</v>
      </c>
      <c r="D110" t="s">
        <v>20</v>
      </c>
      <c r="E110" t="s">
        <v>21</v>
      </c>
      <c r="F110">
        <v>500</v>
      </c>
      <c r="G110">
        <v>483</v>
      </c>
      <c r="H110">
        <v>17</v>
      </c>
      <c r="I110">
        <v>120</v>
      </c>
      <c r="J110">
        <v>116.43</v>
      </c>
      <c r="K110" t="s">
        <v>22</v>
      </c>
    </row>
    <row r="111" spans="1:11" x14ac:dyDescent="0.3">
      <c r="A111" t="s">
        <v>257</v>
      </c>
      <c r="B111" t="s">
        <v>258</v>
      </c>
      <c r="C111" t="s">
        <v>28</v>
      </c>
      <c r="D111" t="s">
        <v>42</v>
      </c>
      <c r="E111" t="s">
        <v>43</v>
      </c>
      <c r="F111">
        <v>150</v>
      </c>
      <c r="G111">
        <v>131</v>
      </c>
      <c r="H111">
        <v>19</v>
      </c>
      <c r="I111">
        <v>150</v>
      </c>
      <c r="J111">
        <v>146.32</v>
      </c>
      <c r="K111" t="s">
        <v>22</v>
      </c>
    </row>
    <row r="112" spans="1:11" x14ac:dyDescent="0.3">
      <c r="A112" t="s">
        <v>259</v>
      </c>
      <c r="B112" t="s">
        <v>154</v>
      </c>
      <c r="C112" t="s">
        <v>13</v>
      </c>
      <c r="D112" t="s">
        <v>89</v>
      </c>
      <c r="E112" t="s">
        <v>90</v>
      </c>
      <c r="F112">
        <v>300</v>
      </c>
      <c r="G112">
        <v>295</v>
      </c>
      <c r="H112">
        <v>5</v>
      </c>
      <c r="I112">
        <v>85</v>
      </c>
      <c r="J112">
        <v>90.29</v>
      </c>
      <c r="K112" t="s">
        <v>25</v>
      </c>
    </row>
    <row r="113" spans="1:11" x14ac:dyDescent="0.3">
      <c r="A113" t="s">
        <v>260</v>
      </c>
      <c r="B113" t="s">
        <v>261</v>
      </c>
      <c r="C113" t="s">
        <v>50</v>
      </c>
      <c r="D113" t="s">
        <v>46</v>
      </c>
      <c r="E113" t="s">
        <v>47</v>
      </c>
      <c r="F113">
        <v>200</v>
      </c>
      <c r="G113">
        <v>188</v>
      </c>
      <c r="H113">
        <v>12</v>
      </c>
      <c r="I113">
        <v>35</v>
      </c>
      <c r="J113">
        <v>39.229999999999997</v>
      </c>
      <c r="K113" t="s">
        <v>25</v>
      </c>
    </row>
    <row r="114" spans="1:11" x14ac:dyDescent="0.3">
      <c r="A114" t="s">
        <v>262</v>
      </c>
      <c r="B114" t="s">
        <v>263</v>
      </c>
      <c r="C114" t="s">
        <v>33</v>
      </c>
      <c r="D114" t="s">
        <v>42</v>
      </c>
      <c r="E114" t="s">
        <v>43</v>
      </c>
      <c r="F114">
        <v>1000</v>
      </c>
      <c r="G114">
        <v>979</v>
      </c>
      <c r="H114">
        <v>21</v>
      </c>
      <c r="I114">
        <v>150</v>
      </c>
      <c r="J114">
        <v>147.77000000000001</v>
      </c>
      <c r="K114" t="s">
        <v>25</v>
      </c>
    </row>
    <row r="115" spans="1:11" x14ac:dyDescent="0.3">
      <c r="A115" t="s">
        <v>264</v>
      </c>
      <c r="B115" t="s">
        <v>265</v>
      </c>
      <c r="C115" t="s">
        <v>13</v>
      </c>
      <c r="D115" t="s">
        <v>14</v>
      </c>
      <c r="E115" t="s">
        <v>15</v>
      </c>
      <c r="F115">
        <v>150</v>
      </c>
      <c r="G115">
        <v>128</v>
      </c>
      <c r="H115">
        <v>22</v>
      </c>
      <c r="I115">
        <v>45</v>
      </c>
      <c r="J115">
        <v>44.54</v>
      </c>
      <c r="K115" t="s">
        <v>55</v>
      </c>
    </row>
    <row r="116" spans="1:11" x14ac:dyDescent="0.3">
      <c r="A116" t="s">
        <v>266</v>
      </c>
      <c r="B116" t="s">
        <v>267</v>
      </c>
      <c r="C116" t="s">
        <v>19</v>
      </c>
      <c r="D116" t="s">
        <v>34</v>
      </c>
      <c r="E116" t="s">
        <v>35</v>
      </c>
      <c r="F116">
        <v>500</v>
      </c>
      <c r="G116">
        <v>482</v>
      </c>
      <c r="H116">
        <v>18</v>
      </c>
      <c r="I116">
        <v>210</v>
      </c>
      <c r="J116">
        <v>203.56</v>
      </c>
      <c r="K116" t="s">
        <v>39</v>
      </c>
    </row>
    <row r="117" spans="1:11" x14ac:dyDescent="0.3">
      <c r="A117" t="s">
        <v>268</v>
      </c>
      <c r="B117" t="s">
        <v>269</v>
      </c>
      <c r="C117" t="s">
        <v>103</v>
      </c>
      <c r="D117" t="s">
        <v>20</v>
      </c>
      <c r="E117" t="s">
        <v>21</v>
      </c>
      <c r="F117">
        <v>200</v>
      </c>
      <c r="G117">
        <v>198</v>
      </c>
      <c r="H117">
        <v>2</v>
      </c>
      <c r="I117">
        <v>120</v>
      </c>
      <c r="J117">
        <v>113.68</v>
      </c>
      <c r="K117" t="s">
        <v>55</v>
      </c>
    </row>
    <row r="118" spans="1:11" x14ac:dyDescent="0.3">
      <c r="A118" t="s">
        <v>270</v>
      </c>
      <c r="B118" t="s">
        <v>271</v>
      </c>
      <c r="C118" t="s">
        <v>38</v>
      </c>
      <c r="D118" t="s">
        <v>29</v>
      </c>
      <c r="E118" t="s">
        <v>30</v>
      </c>
      <c r="F118">
        <v>300</v>
      </c>
      <c r="G118">
        <v>296</v>
      </c>
      <c r="H118">
        <v>4</v>
      </c>
      <c r="I118">
        <v>65</v>
      </c>
      <c r="J118">
        <v>60.57</v>
      </c>
      <c r="K118" t="s">
        <v>25</v>
      </c>
    </row>
    <row r="119" spans="1:11" x14ac:dyDescent="0.3">
      <c r="A119" t="s">
        <v>272</v>
      </c>
      <c r="B119" t="s">
        <v>273</v>
      </c>
      <c r="C119" t="s">
        <v>28</v>
      </c>
      <c r="D119" t="s">
        <v>58</v>
      </c>
      <c r="E119" t="s">
        <v>59</v>
      </c>
      <c r="F119">
        <v>300</v>
      </c>
      <c r="G119">
        <v>287</v>
      </c>
      <c r="H119">
        <v>13</v>
      </c>
      <c r="I119">
        <v>340</v>
      </c>
      <c r="J119">
        <v>353.07</v>
      </c>
      <c r="K119" t="s">
        <v>16</v>
      </c>
    </row>
    <row r="120" spans="1:11" x14ac:dyDescent="0.3">
      <c r="A120" t="s">
        <v>274</v>
      </c>
      <c r="B120" t="s">
        <v>216</v>
      </c>
      <c r="C120" t="s">
        <v>66</v>
      </c>
      <c r="D120" t="s">
        <v>42</v>
      </c>
      <c r="E120" t="s">
        <v>43</v>
      </c>
      <c r="F120">
        <v>200</v>
      </c>
      <c r="G120">
        <v>191</v>
      </c>
      <c r="H120">
        <v>9</v>
      </c>
      <c r="I120">
        <v>150</v>
      </c>
      <c r="J120">
        <v>148.38</v>
      </c>
      <c r="K120" t="s">
        <v>55</v>
      </c>
    </row>
    <row r="121" spans="1:11" x14ac:dyDescent="0.3">
      <c r="A121" t="s">
        <v>275</v>
      </c>
      <c r="B121" t="s">
        <v>276</v>
      </c>
      <c r="C121" t="s">
        <v>28</v>
      </c>
      <c r="D121" t="s">
        <v>46</v>
      </c>
      <c r="E121" t="s">
        <v>47</v>
      </c>
      <c r="F121">
        <v>1000</v>
      </c>
      <c r="G121">
        <v>982</v>
      </c>
      <c r="H121">
        <v>18</v>
      </c>
      <c r="I121">
        <v>35</v>
      </c>
      <c r="J121">
        <v>37.08</v>
      </c>
    </row>
    <row r="122" spans="1:11" x14ac:dyDescent="0.3">
      <c r="A122" t="s">
        <v>277</v>
      </c>
      <c r="B122" t="s">
        <v>278</v>
      </c>
      <c r="C122" t="s">
        <v>33</v>
      </c>
      <c r="D122" t="s">
        <v>34</v>
      </c>
      <c r="E122" t="s">
        <v>35</v>
      </c>
      <c r="F122">
        <v>100</v>
      </c>
      <c r="G122">
        <v>87</v>
      </c>
      <c r="H122">
        <v>13</v>
      </c>
      <c r="I122">
        <v>210</v>
      </c>
      <c r="J122">
        <v>208.05</v>
      </c>
      <c r="K122" t="s">
        <v>22</v>
      </c>
    </row>
    <row r="123" spans="1:11" x14ac:dyDescent="0.3">
      <c r="A123" t="s">
        <v>253</v>
      </c>
      <c r="B123" t="s">
        <v>254</v>
      </c>
      <c r="C123" t="s">
        <v>103</v>
      </c>
      <c r="D123" t="s">
        <v>34</v>
      </c>
      <c r="E123" t="s">
        <v>35</v>
      </c>
      <c r="F123">
        <v>100</v>
      </c>
      <c r="G123">
        <v>93</v>
      </c>
      <c r="H123">
        <v>7</v>
      </c>
      <c r="I123">
        <v>210</v>
      </c>
      <c r="J123">
        <v>207.61</v>
      </c>
      <c r="K123" t="s">
        <v>22</v>
      </c>
    </row>
    <row r="124" spans="1:11" x14ac:dyDescent="0.3">
      <c r="A124" t="s">
        <v>279</v>
      </c>
      <c r="B124" t="s">
        <v>280</v>
      </c>
      <c r="C124" t="s">
        <v>13</v>
      </c>
      <c r="D124" t="s">
        <v>29</v>
      </c>
      <c r="E124" t="s">
        <v>30</v>
      </c>
      <c r="F124">
        <v>100</v>
      </c>
      <c r="G124">
        <v>88</v>
      </c>
      <c r="H124">
        <v>12</v>
      </c>
      <c r="I124">
        <v>65</v>
      </c>
      <c r="J124">
        <v>62.94</v>
      </c>
      <c r="K124" t="s">
        <v>55</v>
      </c>
    </row>
    <row r="125" spans="1:11" x14ac:dyDescent="0.3">
      <c r="A125" t="s">
        <v>281</v>
      </c>
      <c r="B125" t="s">
        <v>282</v>
      </c>
      <c r="C125" t="s">
        <v>38</v>
      </c>
      <c r="D125" t="s">
        <v>20</v>
      </c>
      <c r="E125" t="s">
        <v>21</v>
      </c>
      <c r="F125">
        <v>150</v>
      </c>
      <c r="G125">
        <v>134</v>
      </c>
      <c r="H125">
        <v>16</v>
      </c>
      <c r="I125">
        <v>120</v>
      </c>
      <c r="J125">
        <v>116.93</v>
      </c>
      <c r="K125" t="s">
        <v>22</v>
      </c>
    </row>
    <row r="126" spans="1:11" x14ac:dyDescent="0.3">
      <c r="A126" t="s">
        <v>283</v>
      </c>
      <c r="B126" t="s">
        <v>284</v>
      </c>
      <c r="C126" t="s">
        <v>38</v>
      </c>
      <c r="D126" t="s">
        <v>89</v>
      </c>
      <c r="E126" t="s">
        <v>90</v>
      </c>
      <c r="F126">
        <v>1000</v>
      </c>
      <c r="G126">
        <v>920</v>
      </c>
      <c r="H126">
        <v>80</v>
      </c>
      <c r="I126">
        <v>85</v>
      </c>
      <c r="J126">
        <v>88.17</v>
      </c>
      <c r="K126" t="s">
        <v>22</v>
      </c>
    </row>
    <row r="127" spans="1:11" x14ac:dyDescent="0.3">
      <c r="A127" t="s">
        <v>285</v>
      </c>
      <c r="B127" t="s">
        <v>286</v>
      </c>
      <c r="C127" t="s">
        <v>28</v>
      </c>
      <c r="D127" t="s">
        <v>20</v>
      </c>
      <c r="E127" t="s">
        <v>21</v>
      </c>
      <c r="F127">
        <v>500</v>
      </c>
      <c r="G127">
        <v>484</v>
      </c>
      <c r="H127">
        <v>16</v>
      </c>
      <c r="I127">
        <v>120</v>
      </c>
      <c r="J127">
        <v>114.58</v>
      </c>
      <c r="K127" t="s">
        <v>39</v>
      </c>
    </row>
    <row r="128" spans="1:11" x14ac:dyDescent="0.3">
      <c r="A128" t="s">
        <v>255</v>
      </c>
      <c r="B128" t="s">
        <v>256</v>
      </c>
      <c r="C128" t="s">
        <v>38</v>
      </c>
      <c r="D128" t="s">
        <v>20</v>
      </c>
      <c r="E128" t="s">
        <v>21</v>
      </c>
      <c r="F128">
        <v>500</v>
      </c>
      <c r="G128">
        <v>483</v>
      </c>
      <c r="H128">
        <v>17</v>
      </c>
      <c r="I128">
        <v>120</v>
      </c>
      <c r="J128">
        <v>116.43</v>
      </c>
      <c r="K128" t="s">
        <v>22</v>
      </c>
    </row>
    <row r="129" spans="1:11" x14ac:dyDescent="0.3">
      <c r="A129" t="s">
        <v>287</v>
      </c>
      <c r="B129" t="s">
        <v>288</v>
      </c>
      <c r="C129" t="s">
        <v>19</v>
      </c>
      <c r="D129" t="s">
        <v>116</v>
      </c>
      <c r="E129" t="s">
        <v>117</v>
      </c>
      <c r="F129">
        <v>100</v>
      </c>
      <c r="G129">
        <v>95</v>
      </c>
      <c r="H129">
        <v>5</v>
      </c>
      <c r="I129">
        <v>28</v>
      </c>
      <c r="J129">
        <v>28.43</v>
      </c>
      <c r="K129" t="s">
        <v>39</v>
      </c>
    </row>
    <row r="130" spans="1:11" x14ac:dyDescent="0.3">
      <c r="A130" t="s">
        <v>289</v>
      </c>
      <c r="B130" t="s">
        <v>290</v>
      </c>
      <c r="C130" t="s">
        <v>66</v>
      </c>
      <c r="D130" t="s">
        <v>89</v>
      </c>
      <c r="E130" t="s">
        <v>90</v>
      </c>
      <c r="F130">
        <v>300</v>
      </c>
      <c r="G130">
        <v>291</v>
      </c>
      <c r="H130">
        <v>9</v>
      </c>
      <c r="I130">
        <v>85</v>
      </c>
      <c r="J130">
        <v>91.82</v>
      </c>
      <c r="K130" t="s">
        <v>39</v>
      </c>
    </row>
    <row r="131" spans="1:11" x14ac:dyDescent="0.3">
      <c r="A131" t="s">
        <v>291</v>
      </c>
      <c r="B131" t="s">
        <v>292</v>
      </c>
      <c r="C131" t="s">
        <v>28</v>
      </c>
      <c r="D131" t="s">
        <v>58</v>
      </c>
      <c r="E131" t="s">
        <v>59</v>
      </c>
      <c r="F131">
        <v>250</v>
      </c>
      <c r="G131">
        <v>246</v>
      </c>
      <c r="H131">
        <v>4</v>
      </c>
      <c r="I131">
        <v>340</v>
      </c>
      <c r="J131">
        <v>354.85</v>
      </c>
      <c r="K131" t="s">
        <v>22</v>
      </c>
    </row>
    <row r="132" spans="1:11" x14ac:dyDescent="0.3">
      <c r="A132" t="s">
        <v>293</v>
      </c>
      <c r="B132" t="s">
        <v>294</v>
      </c>
      <c r="C132" t="s">
        <v>33</v>
      </c>
      <c r="D132" t="s">
        <v>29</v>
      </c>
      <c r="E132" t="s">
        <v>30</v>
      </c>
      <c r="F132">
        <v>150</v>
      </c>
      <c r="G132">
        <v>146</v>
      </c>
      <c r="H132">
        <v>4</v>
      </c>
      <c r="I132">
        <v>65</v>
      </c>
      <c r="J132">
        <v>65.27</v>
      </c>
      <c r="K132" t="s">
        <v>55</v>
      </c>
    </row>
    <row r="133" spans="1:11" x14ac:dyDescent="0.3">
      <c r="A133" t="s">
        <v>295</v>
      </c>
      <c r="B133" t="s">
        <v>296</v>
      </c>
      <c r="C133" t="s">
        <v>103</v>
      </c>
      <c r="D133" t="s">
        <v>89</v>
      </c>
      <c r="E133" t="s">
        <v>90</v>
      </c>
      <c r="F133">
        <v>300</v>
      </c>
      <c r="G133">
        <v>283</v>
      </c>
      <c r="H133">
        <v>17</v>
      </c>
      <c r="I133">
        <v>85</v>
      </c>
      <c r="J133">
        <v>88.25</v>
      </c>
      <c r="K133" t="s">
        <v>16</v>
      </c>
    </row>
    <row r="134" spans="1:11" x14ac:dyDescent="0.3">
      <c r="A134" t="s">
        <v>297</v>
      </c>
      <c r="B134" t="s">
        <v>271</v>
      </c>
      <c r="C134" t="s">
        <v>66</v>
      </c>
      <c r="D134" t="s">
        <v>116</v>
      </c>
      <c r="E134" t="s">
        <v>117</v>
      </c>
      <c r="F134">
        <v>1000</v>
      </c>
      <c r="G134">
        <v>980</v>
      </c>
      <c r="H134">
        <v>20</v>
      </c>
      <c r="I134">
        <v>28</v>
      </c>
      <c r="J134">
        <v>27.45</v>
      </c>
    </row>
    <row r="135" spans="1:11" x14ac:dyDescent="0.3">
      <c r="A135" t="s">
        <v>298</v>
      </c>
      <c r="B135" t="s">
        <v>299</v>
      </c>
      <c r="C135" t="s">
        <v>13</v>
      </c>
      <c r="D135" t="s">
        <v>14</v>
      </c>
      <c r="E135" t="s">
        <v>15</v>
      </c>
      <c r="F135">
        <v>200</v>
      </c>
      <c r="H135">
        <v>5</v>
      </c>
      <c r="I135">
        <v>45</v>
      </c>
      <c r="J135">
        <v>42.41</v>
      </c>
      <c r="K135" t="s">
        <v>55</v>
      </c>
    </row>
    <row r="136" spans="1:11" x14ac:dyDescent="0.3">
      <c r="A136" t="s">
        <v>300</v>
      </c>
      <c r="B136" t="s">
        <v>301</v>
      </c>
      <c r="C136" t="s">
        <v>38</v>
      </c>
      <c r="D136" t="s">
        <v>14</v>
      </c>
      <c r="E136" t="s">
        <v>15</v>
      </c>
      <c r="F136">
        <v>250</v>
      </c>
      <c r="G136">
        <v>243</v>
      </c>
      <c r="H136">
        <v>7</v>
      </c>
      <c r="I136">
        <v>45</v>
      </c>
      <c r="J136">
        <v>44.73</v>
      </c>
      <c r="K136" t="s">
        <v>16</v>
      </c>
    </row>
    <row r="137" spans="1:11" x14ac:dyDescent="0.3">
      <c r="A137" t="s">
        <v>302</v>
      </c>
      <c r="B137" t="s">
        <v>303</v>
      </c>
      <c r="C137" t="s">
        <v>66</v>
      </c>
      <c r="D137" t="s">
        <v>89</v>
      </c>
      <c r="E137" t="s">
        <v>90</v>
      </c>
      <c r="F137">
        <v>300</v>
      </c>
      <c r="G137">
        <v>293</v>
      </c>
      <c r="H137">
        <v>7</v>
      </c>
      <c r="I137">
        <v>85</v>
      </c>
      <c r="J137">
        <v>89.56</v>
      </c>
      <c r="K137" t="s">
        <v>39</v>
      </c>
    </row>
    <row r="138" spans="1:11" x14ac:dyDescent="0.3">
      <c r="A138" t="s">
        <v>304</v>
      </c>
      <c r="B138" t="s">
        <v>305</v>
      </c>
      <c r="C138" t="s">
        <v>13</v>
      </c>
      <c r="D138" t="s">
        <v>58</v>
      </c>
      <c r="E138" t="s">
        <v>59</v>
      </c>
      <c r="F138">
        <v>200</v>
      </c>
      <c r="G138">
        <v>176</v>
      </c>
      <c r="H138">
        <v>24</v>
      </c>
      <c r="I138">
        <v>340</v>
      </c>
      <c r="J138">
        <v>357.09</v>
      </c>
      <c r="K138" t="s">
        <v>25</v>
      </c>
    </row>
    <row r="139" spans="1:11" x14ac:dyDescent="0.3">
      <c r="A139" t="s">
        <v>306</v>
      </c>
      <c r="B139" t="s">
        <v>307</v>
      </c>
      <c r="C139" t="s">
        <v>103</v>
      </c>
      <c r="D139" t="s">
        <v>29</v>
      </c>
      <c r="E139" t="s">
        <v>30</v>
      </c>
      <c r="F139">
        <v>250</v>
      </c>
      <c r="G139">
        <v>246</v>
      </c>
      <c r="H139">
        <v>4</v>
      </c>
      <c r="I139">
        <v>65</v>
      </c>
      <c r="J139">
        <v>63.48</v>
      </c>
      <c r="K139" t="s">
        <v>25</v>
      </c>
    </row>
    <row r="140" spans="1:11" x14ac:dyDescent="0.3">
      <c r="A140" t="s">
        <v>308</v>
      </c>
      <c r="B140" t="s">
        <v>309</v>
      </c>
      <c r="C140" t="s">
        <v>103</v>
      </c>
      <c r="D140" t="s">
        <v>58</v>
      </c>
      <c r="E140" t="s">
        <v>59</v>
      </c>
      <c r="F140">
        <v>500</v>
      </c>
      <c r="G140">
        <v>488</v>
      </c>
      <c r="H140">
        <v>12</v>
      </c>
      <c r="I140">
        <v>340</v>
      </c>
      <c r="J140">
        <v>356.54</v>
      </c>
      <c r="K140" t="s">
        <v>55</v>
      </c>
    </row>
    <row r="141" spans="1:11" x14ac:dyDescent="0.3">
      <c r="A141" t="s">
        <v>310</v>
      </c>
      <c r="B141" t="s">
        <v>311</v>
      </c>
      <c r="C141" t="s">
        <v>38</v>
      </c>
      <c r="D141" t="s">
        <v>58</v>
      </c>
      <c r="E141" t="s">
        <v>59</v>
      </c>
      <c r="F141">
        <v>1000</v>
      </c>
      <c r="H141">
        <v>6</v>
      </c>
      <c r="I141">
        <v>340</v>
      </c>
      <c r="J141">
        <v>357.75</v>
      </c>
      <c r="K141" t="s">
        <v>55</v>
      </c>
    </row>
    <row r="142" spans="1:11" x14ac:dyDescent="0.3">
      <c r="A142" t="s">
        <v>312</v>
      </c>
      <c r="B142" t="s">
        <v>313</v>
      </c>
      <c r="C142" t="s">
        <v>28</v>
      </c>
      <c r="D142" t="s">
        <v>29</v>
      </c>
      <c r="E142" t="s">
        <v>30</v>
      </c>
      <c r="F142">
        <v>300</v>
      </c>
      <c r="G142">
        <v>298</v>
      </c>
      <c r="H142">
        <v>2</v>
      </c>
      <c r="I142">
        <v>65</v>
      </c>
      <c r="J142">
        <v>63.18</v>
      </c>
      <c r="K142" t="s">
        <v>16</v>
      </c>
    </row>
    <row r="143" spans="1:11" x14ac:dyDescent="0.3">
      <c r="A143" t="s">
        <v>314</v>
      </c>
      <c r="B143" t="s">
        <v>315</v>
      </c>
      <c r="C143" t="s">
        <v>38</v>
      </c>
      <c r="D143" t="s">
        <v>116</v>
      </c>
      <c r="E143" t="s">
        <v>117</v>
      </c>
      <c r="F143">
        <v>100</v>
      </c>
      <c r="G143">
        <v>84</v>
      </c>
      <c r="H143">
        <v>16</v>
      </c>
      <c r="I143">
        <v>28</v>
      </c>
      <c r="J143">
        <v>25.76</v>
      </c>
      <c r="K143" t="s">
        <v>25</v>
      </c>
    </row>
    <row r="144" spans="1:11" x14ac:dyDescent="0.3">
      <c r="A144" t="s">
        <v>316</v>
      </c>
      <c r="B144" t="s">
        <v>158</v>
      </c>
      <c r="C144" t="s">
        <v>19</v>
      </c>
      <c r="D144" t="s">
        <v>89</v>
      </c>
      <c r="E144" t="s">
        <v>90</v>
      </c>
      <c r="F144">
        <v>300</v>
      </c>
      <c r="G144">
        <v>291</v>
      </c>
      <c r="H144">
        <v>9</v>
      </c>
      <c r="I144">
        <v>85</v>
      </c>
      <c r="J144">
        <v>90.99</v>
      </c>
      <c r="K144" t="s">
        <v>25</v>
      </c>
    </row>
    <row r="145" spans="1:11" x14ac:dyDescent="0.3">
      <c r="A145" t="s">
        <v>317</v>
      </c>
      <c r="B145" t="s">
        <v>318</v>
      </c>
      <c r="C145" t="s">
        <v>38</v>
      </c>
      <c r="D145" t="s">
        <v>58</v>
      </c>
      <c r="E145" t="s">
        <v>59</v>
      </c>
      <c r="F145">
        <v>200</v>
      </c>
      <c r="G145">
        <v>188</v>
      </c>
      <c r="H145">
        <v>12</v>
      </c>
      <c r="I145">
        <v>340</v>
      </c>
      <c r="J145">
        <v>358.19</v>
      </c>
      <c r="K145" t="s">
        <v>16</v>
      </c>
    </row>
    <row r="146" spans="1:11" x14ac:dyDescent="0.3">
      <c r="A146" t="s">
        <v>319</v>
      </c>
      <c r="B146" t="s">
        <v>320</v>
      </c>
      <c r="C146" t="s">
        <v>28</v>
      </c>
      <c r="D146" t="s">
        <v>46</v>
      </c>
      <c r="E146" t="s">
        <v>47</v>
      </c>
      <c r="F146">
        <v>150</v>
      </c>
      <c r="G146">
        <v>131</v>
      </c>
      <c r="H146">
        <v>19</v>
      </c>
      <c r="I146">
        <v>35</v>
      </c>
      <c r="J146">
        <v>36.57</v>
      </c>
      <c r="K146" t="s">
        <v>55</v>
      </c>
    </row>
    <row r="147" spans="1:11" x14ac:dyDescent="0.3">
      <c r="A147" t="s">
        <v>321</v>
      </c>
      <c r="B147" t="s">
        <v>322</v>
      </c>
      <c r="C147" t="s">
        <v>66</v>
      </c>
      <c r="D147" t="s">
        <v>116</v>
      </c>
      <c r="E147" t="s">
        <v>117</v>
      </c>
      <c r="F147">
        <v>200</v>
      </c>
      <c r="G147">
        <v>176</v>
      </c>
      <c r="H147">
        <v>24</v>
      </c>
      <c r="I147">
        <v>28</v>
      </c>
      <c r="J147">
        <v>28.52</v>
      </c>
      <c r="K147" t="s">
        <v>25</v>
      </c>
    </row>
    <row r="148" spans="1:11" x14ac:dyDescent="0.3">
      <c r="A148" t="s">
        <v>323</v>
      </c>
      <c r="B148" t="s">
        <v>324</v>
      </c>
      <c r="C148" t="s">
        <v>28</v>
      </c>
      <c r="D148" t="s">
        <v>14</v>
      </c>
      <c r="E148" t="s">
        <v>15</v>
      </c>
      <c r="F148">
        <v>500</v>
      </c>
      <c r="G148">
        <v>494</v>
      </c>
      <c r="H148">
        <v>6</v>
      </c>
      <c r="I148">
        <v>45</v>
      </c>
      <c r="J148">
        <v>45.01</v>
      </c>
      <c r="K148" t="s">
        <v>16</v>
      </c>
    </row>
    <row r="149" spans="1:11" x14ac:dyDescent="0.3">
      <c r="A149" t="s">
        <v>325</v>
      </c>
      <c r="B149" t="s">
        <v>326</v>
      </c>
      <c r="C149" t="s">
        <v>38</v>
      </c>
      <c r="D149" t="s">
        <v>89</v>
      </c>
      <c r="E149" t="s">
        <v>90</v>
      </c>
      <c r="F149">
        <v>150</v>
      </c>
      <c r="G149">
        <v>146</v>
      </c>
      <c r="H149">
        <v>4</v>
      </c>
      <c r="I149">
        <v>85</v>
      </c>
      <c r="J149">
        <v>87.48</v>
      </c>
      <c r="K149" t="s">
        <v>22</v>
      </c>
    </row>
    <row r="150" spans="1:11" x14ac:dyDescent="0.3">
      <c r="A150" t="s">
        <v>327</v>
      </c>
      <c r="B150" t="s">
        <v>328</v>
      </c>
      <c r="C150" t="s">
        <v>103</v>
      </c>
      <c r="D150" t="s">
        <v>58</v>
      </c>
      <c r="E150" t="s">
        <v>59</v>
      </c>
      <c r="F150">
        <v>150</v>
      </c>
      <c r="G150">
        <v>126</v>
      </c>
      <c r="H150">
        <v>24</v>
      </c>
      <c r="I150">
        <v>340</v>
      </c>
      <c r="J150">
        <v>357.14</v>
      </c>
      <c r="K150" t="s">
        <v>55</v>
      </c>
    </row>
    <row r="151" spans="1:11" x14ac:dyDescent="0.3">
      <c r="A151" t="s">
        <v>329</v>
      </c>
      <c r="B151" t="s">
        <v>330</v>
      </c>
      <c r="C151" t="s">
        <v>28</v>
      </c>
      <c r="D151" t="s">
        <v>42</v>
      </c>
      <c r="E151" t="s">
        <v>43</v>
      </c>
      <c r="F151">
        <v>300</v>
      </c>
      <c r="G151">
        <v>287</v>
      </c>
      <c r="H151">
        <v>13</v>
      </c>
      <c r="I151">
        <v>150</v>
      </c>
      <c r="J151">
        <v>148.44</v>
      </c>
      <c r="K151" t="s">
        <v>22</v>
      </c>
    </row>
    <row r="152" spans="1:11" x14ac:dyDescent="0.3">
      <c r="A152" t="s">
        <v>331</v>
      </c>
      <c r="B152" t="s">
        <v>332</v>
      </c>
      <c r="C152" t="s">
        <v>38</v>
      </c>
      <c r="D152" t="s">
        <v>42</v>
      </c>
      <c r="E152" t="s">
        <v>43</v>
      </c>
      <c r="F152">
        <v>300</v>
      </c>
      <c r="G152">
        <v>294</v>
      </c>
      <c r="H152">
        <v>6</v>
      </c>
      <c r="I152">
        <v>150</v>
      </c>
      <c r="J152">
        <v>148.01</v>
      </c>
      <c r="K152" t="s">
        <v>39</v>
      </c>
    </row>
    <row r="153" spans="1:11" x14ac:dyDescent="0.3">
      <c r="A153" t="s">
        <v>333</v>
      </c>
      <c r="B153" t="s">
        <v>334</v>
      </c>
      <c r="C153" t="s">
        <v>50</v>
      </c>
      <c r="D153" t="s">
        <v>58</v>
      </c>
      <c r="E153" t="s">
        <v>59</v>
      </c>
      <c r="F153">
        <v>100</v>
      </c>
      <c r="G153">
        <v>80</v>
      </c>
      <c r="H153">
        <v>20</v>
      </c>
      <c r="I153">
        <v>340</v>
      </c>
      <c r="J153">
        <v>357.35</v>
      </c>
      <c r="K153" t="s">
        <v>16</v>
      </c>
    </row>
    <row r="154" spans="1:11" x14ac:dyDescent="0.3">
      <c r="A154" t="s">
        <v>335</v>
      </c>
      <c r="B154" t="s">
        <v>336</v>
      </c>
      <c r="C154" t="s">
        <v>66</v>
      </c>
      <c r="D154" t="s">
        <v>116</v>
      </c>
      <c r="E154" t="s">
        <v>117</v>
      </c>
      <c r="F154">
        <v>100</v>
      </c>
      <c r="G154">
        <v>95</v>
      </c>
      <c r="H154">
        <v>5</v>
      </c>
      <c r="I154">
        <v>28</v>
      </c>
      <c r="J154">
        <v>27.88</v>
      </c>
      <c r="K154" t="s">
        <v>22</v>
      </c>
    </row>
    <row r="155" spans="1:11" x14ac:dyDescent="0.3">
      <c r="A155" t="s">
        <v>337</v>
      </c>
      <c r="B155" t="s">
        <v>338</v>
      </c>
      <c r="C155" t="s">
        <v>50</v>
      </c>
      <c r="D155" t="s">
        <v>42</v>
      </c>
      <c r="E155" t="s">
        <v>43</v>
      </c>
      <c r="F155">
        <v>200</v>
      </c>
      <c r="G155">
        <v>186</v>
      </c>
      <c r="H155">
        <v>14</v>
      </c>
      <c r="I155">
        <v>150</v>
      </c>
      <c r="J155">
        <v>148.37</v>
      </c>
      <c r="K155" t="s">
        <v>16</v>
      </c>
    </row>
    <row r="156" spans="1:11" x14ac:dyDescent="0.3">
      <c r="A156" t="s">
        <v>339</v>
      </c>
      <c r="B156" t="s">
        <v>340</v>
      </c>
      <c r="C156" t="s">
        <v>38</v>
      </c>
      <c r="D156" t="s">
        <v>46</v>
      </c>
      <c r="E156" t="s">
        <v>47</v>
      </c>
      <c r="F156">
        <v>200</v>
      </c>
      <c r="G156">
        <v>190</v>
      </c>
      <c r="H156">
        <v>10</v>
      </c>
      <c r="I156">
        <v>35</v>
      </c>
      <c r="J156">
        <v>37.880000000000003</v>
      </c>
      <c r="K156" t="s">
        <v>39</v>
      </c>
    </row>
    <row r="157" spans="1:11" x14ac:dyDescent="0.3">
      <c r="A157" t="s">
        <v>104</v>
      </c>
      <c r="B157" t="s">
        <v>105</v>
      </c>
      <c r="C157" t="s">
        <v>13</v>
      </c>
      <c r="D157" t="s">
        <v>20</v>
      </c>
      <c r="E157" t="s">
        <v>21</v>
      </c>
      <c r="F157">
        <v>200</v>
      </c>
      <c r="G157">
        <v>177</v>
      </c>
      <c r="H157">
        <v>23</v>
      </c>
      <c r="I157">
        <v>120</v>
      </c>
      <c r="J157">
        <v>117.25</v>
      </c>
      <c r="K157" t="s">
        <v>25</v>
      </c>
    </row>
    <row r="158" spans="1:11" x14ac:dyDescent="0.3">
      <c r="A158" t="s">
        <v>341</v>
      </c>
      <c r="B158" t="s">
        <v>342</v>
      </c>
      <c r="C158" t="s">
        <v>19</v>
      </c>
      <c r="D158" t="s">
        <v>34</v>
      </c>
      <c r="E158" t="s">
        <v>35</v>
      </c>
      <c r="F158">
        <v>300</v>
      </c>
      <c r="G158">
        <v>284</v>
      </c>
      <c r="H158">
        <v>16</v>
      </c>
      <c r="I158">
        <v>210</v>
      </c>
      <c r="J158">
        <v>204.41</v>
      </c>
      <c r="K158" t="s">
        <v>16</v>
      </c>
    </row>
    <row r="159" spans="1:11" x14ac:dyDescent="0.3">
      <c r="A159" t="s">
        <v>343</v>
      </c>
      <c r="B159" t="s">
        <v>344</v>
      </c>
      <c r="C159" t="s">
        <v>33</v>
      </c>
      <c r="D159" t="s">
        <v>58</v>
      </c>
      <c r="E159" t="s">
        <v>59</v>
      </c>
      <c r="F159">
        <v>150</v>
      </c>
      <c r="G159">
        <v>139</v>
      </c>
      <c r="H159">
        <v>11</v>
      </c>
      <c r="I159">
        <v>340</v>
      </c>
      <c r="J159">
        <v>357.55</v>
      </c>
      <c r="K159" t="s">
        <v>39</v>
      </c>
    </row>
    <row r="160" spans="1:11" x14ac:dyDescent="0.3">
      <c r="A160" t="s">
        <v>345</v>
      </c>
      <c r="B160" t="s">
        <v>346</v>
      </c>
      <c r="C160" t="s">
        <v>50</v>
      </c>
      <c r="D160" t="s">
        <v>34</v>
      </c>
      <c r="E160" t="s">
        <v>35</v>
      </c>
      <c r="F160">
        <v>1000</v>
      </c>
      <c r="G160">
        <v>991</v>
      </c>
      <c r="H160">
        <v>9</v>
      </c>
      <c r="I160">
        <v>210</v>
      </c>
      <c r="J160">
        <v>205.28</v>
      </c>
      <c r="K160" t="s">
        <v>25</v>
      </c>
    </row>
    <row r="161" spans="1:11" x14ac:dyDescent="0.3">
      <c r="A161" t="s">
        <v>347</v>
      </c>
      <c r="B161" t="s">
        <v>348</v>
      </c>
      <c r="C161" t="s">
        <v>19</v>
      </c>
      <c r="D161" t="s">
        <v>46</v>
      </c>
      <c r="E161" t="s">
        <v>47</v>
      </c>
      <c r="F161">
        <v>100</v>
      </c>
      <c r="G161">
        <v>85</v>
      </c>
      <c r="H161">
        <v>15</v>
      </c>
      <c r="I161">
        <v>35</v>
      </c>
      <c r="J161">
        <v>38.72</v>
      </c>
      <c r="K161" t="s">
        <v>55</v>
      </c>
    </row>
    <row r="162" spans="1:11" x14ac:dyDescent="0.3">
      <c r="A162" t="s">
        <v>349</v>
      </c>
      <c r="B162" t="s">
        <v>350</v>
      </c>
      <c r="C162" t="s">
        <v>19</v>
      </c>
      <c r="D162" t="s">
        <v>29</v>
      </c>
      <c r="E162" t="s">
        <v>30</v>
      </c>
      <c r="F162">
        <v>200</v>
      </c>
      <c r="G162">
        <v>197</v>
      </c>
      <c r="H162">
        <v>3</v>
      </c>
      <c r="I162">
        <v>65</v>
      </c>
      <c r="J162">
        <v>60.55</v>
      </c>
      <c r="K162" t="s">
        <v>22</v>
      </c>
    </row>
    <row r="163" spans="1:11" x14ac:dyDescent="0.3">
      <c r="A163" t="s">
        <v>351</v>
      </c>
      <c r="B163" t="s">
        <v>352</v>
      </c>
      <c r="C163" t="s">
        <v>103</v>
      </c>
      <c r="D163" t="s">
        <v>42</v>
      </c>
      <c r="E163" t="s">
        <v>43</v>
      </c>
      <c r="F163">
        <v>300</v>
      </c>
      <c r="G163">
        <v>297</v>
      </c>
      <c r="H163">
        <v>3</v>
      </c>
      <c r="I163">
        <v>150</v>
      </c>
      <c r="J163">
        <v>145.24</v>
      </c>
      <c r="K163" t="s">
        <v>16</v>
      </c>
    </row>
    <row r="164" spans="1:11" x14ac:dyDescent="0.3">
      <c r="A164" t="s">
        <v>283</v>
      </c>
      <c r="B164" t="s">
        <v>284</v>
      </c>
      <c r="C164" t="s">
        <v>38</v>
      </c>
      <c r="D164" t="s">
        <v>89</v>
      </c>
      <c r="E164" t="s">
        <v>90</v>
      </c>
      <c r="F164">
        <v>1000</v>
      </c>
      <c r="G164">
        <v>920</v>
      </c>
      <c r="H164">
        <v>80</v>
      </c>
      <c r="I164">
        <v>85</v>
      </c>
      <c r="J164">
        <v>88.17</v>
      </c>
      <c r="K164" t="s">
        <v>22</v>
      </c>
    </row>
    <row r="165" spans="1:11" x14ac:dyDescent="0.3">
      <c r="A165" t="s">
        <v>353</v>
      </c>
      <c r="B165" t="s">
        <v>354</v>
      </c>
      <c r="C165" t="s">
        <v>19</v>
      </c>
      <c r="D165" t="s">
        <v>34</v>
      </c>
      <c r="E165" t="s">
        <v>35</v>
      </c>
      <c r="F165">
        <v>250</v>
      </c>
      <c r="G165">
        <v>248</v>
      </c>
      <c r="H165">
        <v>2</v>
      </c>
      <c r="I165">
        <v>210</v>
      </c>
      <c r="J165">
        <v>205.73</v>
      </c>
      <c r="K165" t="s">
        <v>22</v>
      </c>
    </row>
    <row r="166" spans="1:11" x14ac:dyDescent="0.3">
      <c r="A166" t="s">
        <v>355</v>
      </c>
      <c r="B166" t="s">
        <v>356</v>
      </c>
      <c r="C166" t="s">
        <v>50</v>
      </c>
      <c r="D166" t="s">
        <v>34</v>
      </c>
      <c r="E166" t="s">
        <v>35</v>
      </c>
      <c r="F166">
        <v>100</v>
      </c>
      <c r="G166">
        <v>94</v>
      </c>
      <c r="H166">
        <v>6</v>
      </c>
      <c r="I166">
        <v>210</v>
      </c>
      <c r="J166">
        <v>206.32</v>
      </c>
      <c r="K166" t="s">
        <v>22</v>
      </c>
    </row>
    <row r="167" spans="1:11" x14ac:dyDescent="0.3">
      <c r="A167" t="s">
        <v>357</v>
      </c>
      <c r="B167" t="s">
        <v>358</v>
      </c>
      <c r="C167" t="s">
        <v>19</v>
      </c>
      <c r="D167" t="s">
        <v>34</v>
      </c>
      <c r="E167" t="s">
        <v>35</v>
      </c>
      <c r="F167">
        <v>150</v>
      </c>
      <c r="G167">
        <v>128</v>
      </c>
      <c r="H167">
        <v>22</v>
      </c>
      <c r="I167">
        <v>210</v>
      </c>
      <c r="J167">
        <v>208.29</v>
      </c>
      <c r="K167" t="s">
        <v>55</v>
      </c>
    </row>
    <row r="168" spans="1:11" x14ac:dyDescent="0.3">
      <c r="A168" t="s">
        <v>359</v>
      </c>
      <c r="B168" t="s">
        <v>360</v>
      </c>
      <c r="C168" t="s">
        <v>103</v>
      </c>
      <c r="D168" t="s">
        <v>20</v>
      </c>
      <c r="E168" t="s">
        <v>21</v>
      </c>
      <c r="F168">
        <v>150</v>
      </c>
      <c r="G168">
        <v>144</v>
      </c>
      <c r="H168">
        <v>6</v>
      </c>
      <c r="I168">
        <v>120</v>
      </c>
      <c r="J168">
        <v>113.19</v>
      </c>
      <c r="K168" t="s">
        <v>55</v>
      </c>
    </row>
    <row r="169" spans="1:11" x14ac:dyDescent="0.3">
      <c r="A169" t="s">
        <v>361</v>
      </c>
      <c r="B169" t="s">
        <v>362</v>
      </c>
      <c r="C169" t="s">
        <v>38</v>
      </c>
      <c r="D169" t="s">
        <v>42</v>
      </c>
      <c r="E169" t="s">
        <v>43</v>
      </c>
      <c r="F169">
        <v>1000</v>
      </c>
      <c r="G169">
        <v>984</v>
      </c>
      <c r="H169">
        <v>16</v>
      </c>
      <c r="I169">
        <v>150</v>
      </c>
      <c r="J169">
        <v>146.76</v>
      </c>
      <c r="K169" t="s">
        <v>22</v>
      </c>
    </row>
    <row r="170" spans="1:11" x14ac:dyDescent="0.3">
      <c r="A170" t="s">
        <v>363</v>
      </c>
      <c r="B170" t="s">
        <v>364</v>
      </c>
      <c r="C170" t="s">
        <v>28</v>
      </c>
      <c r="D170" t="s">
        <v>46</v>
      </c>
      <c r="E170" t="s">
        <v>47</v>
      </c>
      <c r="F170">
        <v>300</v>
      </c>
      <c r="G170">
        <v>281</v>
      </c>
      <c r="H170">
        <v>19</v>
      </c>
      <c r="I170">
        <v>35</v>
      </c>
      <c r="J170">
        <v>38.33</v>
      </c>
      <c r="K170" t="s">
        <v>55</v>
      </c>
    </row>
    <row r="171" spans="1:11" x14ac:dyDescent="0.3">
      <c r="A171" t="s">
        <v>365</v>
      </c>
      <c r="B171" t="s">
        <v>366</v>
      </c>
      <c r="C171" t="s">
        <v>103</v>
      </c>
      <c r="D171" t="s">
        <v>116</v>
      </c>
      <c r="E171" t="s">
        <v>117</v>
      </c>
      <c r="F171">
        <v>250</v>
      </c>
      <c r="G171">
        <v>243</v>
      </c>
      <c r="H171">
        <v>7</v>
      </c>
      <c r="I171">
        <v>28</v>
      </c>
      <c r="J171">
        <v>27.63</v>
      </c>
      <c r="K171" t="s">
        <v>55</v>
      </c>
    </row>
    <row r="172" spans="1:11" x14ac:dyDescent="0.3">
      <c r="A172" t="s">
        <v>367</v>
      </c>
      <c r="B172" t="s">
        <v>368</v>
      </c>
      <c r="C172" t="s">
        <v>103</v>
      </c>
      <c r="D172" t="s">
        <v>14</v>
      </c>
      <c r="E172" t="s">
        <v>15</v>
      </c>
      <c r="F172">
        <v>300</v>
      </c>
      <c r="G172">
        <v>293</v>
      </c>
      <c r="H172">
        <v>7</v>
      </c>
      <c r="I172">
        <v>45</v>
      </c>
      <c r="J172">
        <v>44.21</v>
      </c>
      <c r="K172" t="s">
        <v>16</v>
      </c>
    </row>
    <row r="173" spans="1:11" x14ac:dyDescent="0.3">
      <c r="A173" t="s">
        <v>369</v>
      </c>
      <c r="B173" t="s">
        <v>370</v>
      </c>
      <c r="C173" t="s">
        <v>38</v>
      </c>
      <c r="D173" t="s">
        <v>14</v>
      </c>
      <c r="E173" t="s">
        <v>15</v>
      </c>
      <c r="F173">
        <v>200</v>
      </c>
      <c r="G173">
        <v>196</v>
      </c>
      <c r="H173">
        <v>4</v>
      </c>
      <c r="I173">
        <v>45</v>
      </c>
      <c r="J173">
        <v>43.06</v>
      </c>
      <c r="K173" t="s">
        <v>55</v>
      </c>
    </row>
    <row r="174" spans="1:11" x14ac:dyDescent="0.3">
      <c r="A174" t="s">
        <v>371</v>
      </c>
      <c r="B174" t="s">
        <v>372</v>
      </c>
      <c r="C174" t="s">
        <v>19</v>
      </c>
      <c r="D174" t="s">
        <v>116</v>
      </c>
      <c r="E174" t="s">
        <v>117</v>
      </c>
      <c r="F174">
        <v>150</v>
      </c>
      <c r="G174">
        <v>134</v>
      </c>
      <c r="H174">
        <v>16</v>
      </c>
      <c r="I174">
        <v>28</v>
      </c>
      <c r="J174">
        <v>26.03</v>
      </c>
      <c r="K174" t="s">
        <v>55</v>
      </c>
    </row>
    <row r="175" spans="1:11" x14ac:dyDescent="0.3">
      <c r="A175" t="s">
        <v>373</v>
      </c>
      <c r="B175" t="s">
        <v>32</v>
      </c>
      <c r="C175" t="s">
        <v>28</v>
      </c>
      <c r="D175" t="s">
        <v>42</v>
      </c>
      <c r="E175" t="s">
        <v>43</v>
      </c>
      <c r="F175">
        <v>150</v>
      </c>
      <c r="G175">
        <v>132</v>
      </c>
      <c r="H175">
        <v>18</v>
      </c>
      <c r="I175">
        <v>150</v>
      </c>
      <c r="J175">
        <v>143.91</v>
      </c>
      <c r="K175" t="s">
        <v>55</v>
      </c>
    </row>
    <row r="176" spans="1:11" x14ac:dyDescent="0.3">
      <c r="A176" t="s">
        <v>374</v>
      </c>
      <c r="B176" t="s">
        <v>375</v>
      </c>
      <c r="C176" t="s">
        <v>66</v>
      </c>
      <c r="D176" t="s">
        <v>20</v>
      </c>
      <c r="E176" t="s">
        <v>21</v>
      </c>
      <c r="F176">
        <v>500</v>
      </c>
      <c r="G176">
        <v>479</v>
      </c>
      <c r="H176">
        <v>21</v>
      </c>
      <c r="I176">
        <v>120</v>
      </c>
      <c r="J176">
        <v>115.35</v>
      </c>
      <c r="K176" t="s">
        <v>39</v>
      </c>
    </row>
    <row r="177" spans="1:11" x14ac:dyDescent="0.3">
      <c r="A177" t="s">
        <v>376</v>
      </c>
      <c r="B177" t="s">
        <v>377</v>
      </c>
      <c r="C177" t="s">
        <v>66</v>
      </c>
      <c r="D177" t="s">
        <v>89</v>
      </c>
      <c r="E177" t="s">
        <v>90</v>
      </c>
      <c r="F177">
        <v>1000</v>
      </c>
      <c r="G177">
        <v>980</v>
      </c>
      <c r="H177">
        <v>20</v>
      </c>
      <c r="I177">
        <v>85</v>
      </c>
      <c r="J177">
        <v>87.63</v>
      </c>
      <c r="K177" t="s">
        <v>55</v>
      </c>
    </row>
    <row r="178" spans="1:11" x14ac:dyDescent="0.3">
      <c r="A178" t="s">
        <v>378</v>
      </c>
      <c r="B178" t="s">
        <v>379</v>
      </c>
      <c r="C178" t="s">
        <v>19</v>
      </c>
      <c r="D178" t="s">
        <v>58</v>
      </c>
      <c r="E178" t="s">
        <v>59</v>
      </c>
      <c r="F178">
        <v>200</v>
      </c>
      <c r="G178">
        <v>178</v>
      </c>
      <c r="H178">
        <v>22</v>
      </c>
      <c r="I178">
        <v>340</v>
      </c>
      <c r="J178">
        <v>354.3</v>
      </c>
      <c r="K178" t="s">
        <v>39</v>
      </c>
    </row>
    <row r="179" spans="1:11" x14ac:dyDescent="0.3">
      <c r="A179" t="s">
        <v>380</v>
      </c>
      <c r="B179" t="s">
        <v>381</v>
      </c>
      <c r="C179" t="s">
        <v>19</v>
      </c>
      <c r="D179" t="s">
        <v>34</v>
      </c>
      <c r="E179" t="s">
        <v>35</v>
      </c>
      <c r="F179">
        <v>300</v>
      </c>
      <c r="G179">
        <v>285</v>
      </c>
      <c r="H179">
        <v>15</v>
      </c>
      <c r="I179">
        <v>210</v>
      </c>
      <c r="J179">
        <v>205.08</v>
      </c>
      <c r="K179" t="s">
        <v>22</v>
      </c>
    </row>
    <row r="180" spans="1:11" x14ac:dyDescent="0.3">
      <c r="A180" t="s">
        <v>327</v>
      </c>
      <c r="B180" t="s">
        <v>328</v>
      </c>
      <c r="C180" t="s">
        <v>103</v>
      </c>
      <c r="D180" t="s">
        <v>58</v>
      </c>
      <c r="E180" t="s">
        <v>59</v>
      </c>
      <c r="F180">
        <v>150</v>
      </c>
      <c r="G180">
        <v>126</v>
      </c>
      <c r="H180">
        <v>24</v>
      </c>
      <c r="I180">
        <v>340</v>
      </c>
      <c r="J180">
        <v>357.14</v>
      </c>
      <c r="K180" t="s">
        <v>55</v>
      </c>
    </row>
    <row r="181" spans="1:11" x14ac:dyDescent="0.3">
      <c r="A181" t="s">
        <v>382</v>
      </c>
      <c r="B181" t="s">
        <v>383</v>
      </c>
      <c r="C181" t="s">
        <v>33</v>
      </c>
      <c r="D181" t="s">
        <v>14</v>
      </c>
      <c r="E181" t="s">
        <v>15</v>
      </c>
      <c r="F181">
        <v>1000</v>
      </c>
      <c r="G181">
        <v>986</v>
      </c>
      <c r="H181">
        <v>14</v>
      </c>
      <c r="I181">
        <v>45</v>
      </c>
      <c r="J181">
        <v>44.83</v>
      </c>
      <c r="K181" t="s">
        <v>55</v>
      </c>
    </row>
    <row r="182" spans="1:11" x14ac:dyDescent="0.3">
      <c r="A182" t="s">
        <v>384</v>
      </c>
      <c r="B182" t="s">
        <v>385</v>
      </c>
      <c r="C182" t="s">
        <v>28</v>
      </c>
      <c r="D182" t="s">
        <v>46</v>
      </c>
      <c r="E182" t="s">
        <v>47</v>
      </c>
      <c r="F182">
        <v>500</v>
      </c>
      <c r="G182">
        <v>493</v>
      </c>
      <c r="H182">
        <v>7</v>
      </c>
      <c r="I182">
        <v>35</v>
      </c>
      <c r="J182">
        <v>40.619999999999997</v>
      </c>
      <c r="K182" t="s">
        <v>16</v>
      </c>
    </row>
    <row r="183" spans="1:11" x14ac:dyDescent="0.3">
      <c r="A183" t="s">
        <v>386</v>
      </c>
      <c r="B183" t="s">
        <v>387</v>
      </c>
      <c r="C183" t="s">
        <v>66</v>
      </c>
      <c r="D183" t="s">
        <v>89</v>
      </c>
      <c r="E183" t="s">
        <v>90</v>
      </c>
      <c r="F183">
        <v>200</v>
      </c>
      <c r="G183">
        <v>180</v>
      </c>
      <c r="H183">
        <v>20</v>
      </c>
      <c r="I183">
        <v>85</v>
      </c>
      <c r="J183">
        <v>89.83</v>
      </c>
      <c r="K183" t="s">
        <v>22</v>
      </c>
    </row>
    <row r="184" spans="1:11" x14ac:dyDescent="0.3">
      <c r="A184" t="s">
        <v>388</v>
      </c>
      <c r="B184" t="s">
        <v>315</v>
      </c>
      <c r="C184" t="s">
        <v>38</v>
      </c>
      <c r="D184" t="s">
        <v>14</v>
      </c>
      <c r="E184" t="s">
        <v>15</v>
      </c>
      <c r="F184">
        <v>150</v>
      </c>
      <c r="G184">
        <v>134</v>
      </c>
      <c r="H184">
        <v>16</v>
      </c>
      <c r="I184">
        <v>45</v>
      </c>
      <c r="J184">
        <v>42.99</v>
      </c>
      <c r="K184" t="s">
        <v>55</v>
      </c>
    </row>
    <row r="185" spans="1:11" x14ac:dyDescent="0.3">
      <c r="A185" t="s">
        <v>389</v>
      </c>
      <c r="B185" t="s">
        <v>390</v>
      </c>
      <c r="C185" t="s">
        <v>33</v>
      </c>
      <c r="D185" t="s">
        <v>34</v>
      </c>
      <c r="E185" t="s">
        <v>35</v>
      </c>
      <c r="F185">
        <v>500</v>
      </c>
      <c r="G185">
        <v>497</v>
      </c>
      <c r="H185">
        <v>3</v>
      </c>
      <c r="I185">
        <v>210</v>
      </c>
      <c r="J185">
        <v>205.64</v>
      </c>
      <c r="K185" t="s">
        <v>25</v>
      </c>
    </row>
    <row r="186" spans="1:11" x14ac:dyDescent="0.3">
      <c r="A186" t="s">
        <v>391</v>
      </c>
      <c r="B186" t="s">
        <v>392</v>
      </c>
      <c r="C186" t="s">
        <v>103</v>
      </c>
      <c r="D186" t="s">
        <v>46</v>
      </c>
      <c r="E186" t="s">
        <v>47</v>
      </c>
      <c r="F186">
        <v>300</v>
      </c>
      <c r="G186">
        <v>286</v>
      </c>
      <c r="H186">
        <v>14</v>
      </c>
      <c r="I186">
        <v>35</v>
      </c>
      <c r="J186">
        <v>38</v>
      </c>
      <c r="K186" t="s">
        <v>39</v>
      </c>
    </row>
    <row r="187" spans="1:11" x14ac:dyDescent="0.3">
      <c r="A187" t="s">
        <v>393</v>
      </c>
      <c r="B187" t="s">
        <v>394</v>
      </c>
      <c r="C187" t="s">
        <v>38</v>
      </c>
      <c r="D187" t="s">
        <v>58</v>
      </c>
      <c r="E187" t="s">
        <v>59</v>
      </c>
      <c r="F187">
        <v>150</v>
      </c>
      <c r="G187">
        <v>147</v>
      </c>
      <c r="H187">
        <v>3</v>
      </c>
      <c r="I187">
        <v>340</v>
      </c>
      <c r="J187">
        <v>357.29</v>
      </c>
      <c r="K18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4BB8-6155-48D4-841F-0B64EA1FB040}">
  <sheetPr>
    <tabColor theme="6"/>
  </sheetPr>
  <dimension ref="A1:Q181"/>
  <sheetViews>
    <sheetView topLeftCell="E2" workbookViewId="0">
      <selection activeCell="N2" sqref="N2:N181"/>
    </sheetView>
  </sheetViews>
  <sheetFormatPr defaultRowHeight="14.4" x14ac:dyDescent="0.3"/>
  <cols>
    <col min="1" max="1" width="18.21875" style="10" customWidth="1"/>
    <col min="2" max="2" width="20" style="22" customWidth="1"/>
    <col min="3" max="3" width="23.21875" style="10" customWidth="1"/>
    <col min="4" max="4" width="19.88671875" style="10" customWidth="1"/>
    <col min="5" max="5" width="36.6640625" style="10" customWidth="1"/>
    <col min="6" max="6" width="15.5546875" style="11" customWidth="1"/>
    <col min="7" max="7" width="23.5546875" style="11" bestFit="1" customWidth="1"/>
    <col min="8" max="8" width="16.77734375" style="11" bestFit="1" customWidth="1"/>
    <col min="9" max="9" width="25.44140625" style="12" bestFit="1" customWidth="1"/>
    <col min="10" max="11" width="22.21875" style="12" customWidth="1"/>
    <col min="12" max="13" width="22.21875" style="14" customWidth="1"/>
    <col min="14" max="14" width="29.88671875" style="14" customWidth="1"/>
    <col min="15" max="15" width="22.33203125" style="29" bestFit="1" customWidth="1"/>
    <col min="16" max="16" width="22.33203125" style="10" customWidth="1"/>
    <col min="17" max="17" width="22.21875" style="12" customWidth="1"/>
  </cols>
  <sheetData>
    <row r="1" spans="1:17" ht="34.200000000000003" customHeight="1" x14ac:dyDescent="0.3">
      <c r="A1" s="15" t="s">
        <v>0</v>
      </c>
      <c r="B1" s="20" t="s">
        <v>1</v>
      </c>
      <c r="C1" s="15" t="s">
        <v>2</v>
      </c>
      <c r="D1" s="15" t="s">
        <v>3</v>
      </c>
      <c r="E1" s="23" t="s">
        <v>4</v>
      </c>
      <c r="F1" s="24" t="s">
        <v>5</v>
      </c>
      <c r="G1" s="24" t="s">
        <v>6</v>
      </c>
      <c r="H1" s="24" t="s">
        <v>7</v>
      </c>
      <c r="I1" s="25" t="s">
        <v>8</v>
      </c>
      <c r="J1" s="25" t="s">
        <v>9</v>
      </c>
      <c r="K1" s="23" t="s">
        <v>10</v>
      </c>
      <c r="L1" s="26" t="s">
        <v>396</v>
      </c>
      <c r="M1" s="26" t="s">
        <v>397</v>
      </c>
      <c r="N1" s="26" t="s">
        <v>398</v>
      </c>
      <c r="O1" s="27" t="s">
        <v>399</v>
      </c>
      <c r="P1" s="16"/>
      <c r="Q1" s="16"/>
    </row>
    <row r="2" spans="1:17" x14ac:dyDescent="0.3">
      <c r="A2" s="17" t="s">
        <v>11</v>
      </c>
      <c r="B2" s="21">
        <v>46299</v>
      </c>
      <c r="C2" s="17" t="s">
        <v>13</v>
      </c>
      <c r="D2" s="17" t="s">
        <v>14</v>
      </c>
      <c r="E2" s="17" t="s">
        <v>15</v>
      </c>
      <c r="F2" s="18">
        <v>100</v>
      </c>
      <c r="G2" s="18">
        <v>80</v>
      </c>
      <c r="H2" s="18">
        <v>20</v>
      </c>
      <c r="I2" s="19">
        <v>45</v>
      </c>
      <c r="J2" s="19">
        <v>41.65</v>
      </c>
      <c r="K2" s="17" t="s">
        <v>16</v>
      </c>
      <c r="L2" s="19">
        <f>Table2[[#This Row],[QTA_LOTTO]]*Table2[[#This Row],[COSTO_STD_UNITARIO]]</f>
        <v>4500</v>
      </c>
      <c r="M2" s="19">
        <f>Table2[[#This Row],[QTA_PRODOTTA_EFF]]*Table2[[#This Row],[COSTO_EFF_UNITARIO]]</f>
        <v>3332</v>
      </c>
      <c r="N2" s="19">
        <f>Table2[[#This Row],[TOT_EFF_COST (€)]]-Table2[[#This Row],[TOT_STD_COST (€)]]</f>
        <v>-1168</v>
      </c>
      <c r="O2" s="28">
        <f>Table2[[#This Row],[QTA_SCARTO]]/Table2[[#This Row],[QTA_LOTTO]]</f>
        <v>0.2</v>
      </c>
      <c r="P2" s="19"/>
      <c r="Q2" s="19"/>
    </row>
    <row r="3" spans="1:17" x14ac:dyDescent="0.3">
      <c r="A3" s="17" t="s">
        <v>17</v>
      </c>
      <c r="B3" s="21">
        <v>46343</v>
      </c>
      <c r="C3" s="17" t="s">
        <v>13</v>
      </c>
      <c r="D3" s="17" t="s">
        <v>20</v>
      </c>
      <c r="E3" s="17" t="s">
        <v>21</v>
      </c>
      <c r="F3" s="18">
        <v>150</v>
      </c>
      <c r="G3" s="18">
        <v>148</v>
      </c>
      <c r="H3" s="18">
        <v>2</v>
      </c>
      <c r="I3" s="19">
        <v>120</v>
      </c>
      <c r="J3" s="19">
        <v>117.05</v>
      </c>
      <c r="K3" s="17" t="s">
        <v>22</v>
      </c>
      <c r="L3" s="19">
        <f>Table2[[#This Row],[QTA_LOTTO]]*Table2[[#This Row],[COSTO_STD_UNITARIO]]</f>
        <v>18000</v>
      </c>
      <c r="M3" s="19">
        <f>Table2[[#This Row],[QTA_PRODOTTA_EFF]]*Table2[[#This Row],[COSTO_EFF_UNITARIO]]</f>
        <v>17323.399999999998</v>
      </c>
      <c r="N3" s="19">
        <f>Table2[[#This Row],[TOT_EFF_COST (€)]]-Table2[[#This Row],[TOT_STD_COST (€)]]</f>
        <v>-676.60000000000218</v>
      </c>
      <c r="O3" s="28">
        <f>Table2[[#This Row],[QTA_SCARTO]]/Table2[[#This Row],[QTA_LOTTO]]</f>
        <v>1.3333333333333334E-2</v>
      </c>
      <c r="P3" s="19"/>
      <c r="Q3" s="19"/>
    </row>
    <row r="4" spans="1:17" x14ac:dyDescent="0.3">
      <c r="A4" s="17" t="s">
        <v>23</v>
      </c>
      <c r="B4" s="21">
        <v>46347</v>
      </c>
      <c r="C4" s="17" t="s">
        <v>13</v>
      </c>
      <c r="D4" s="17" t="s">
        <v>20</v>
      </c>
      <c r="E4" s="17" t="s">
        <v>21</v>
      </c>
      <c r="F4" s="18">
        <v>100</v>
      </c>
      <c r="G4" s="18">
        <v>90</v>
      </c>
      <c r="H4" s="18">
        <v>10</v>
      </c>
      <c r="I4" s="19">
        <v>120</v>
      </c>
      <c r="J4" s="19">
        <v>116.87</v>
      </c>
      <c r="K4" s="17" t="s">
        <v>25</v>
      </c>
      <c r="L4" s="19">
        <f>Table2[[#This Row],[QTA_LOTTO]]*Table2[[#This Row],[COSTO_STD_UNITARIO]]</f>
        <v>12000</v>
      </c>
      <c r="M4" s="19">
        <f>Table2[[#This Row],[QTA_PRODOTTA_EFF]]*Table2[[#This Row],[COSTO_EFF_UNITARIO]]</f>
        <v>10518.300000000001</v>
      </c>
      <c r="N4" s="19">
        <f>Table2[[#This Row],[TOT_EFF_COST (€)]]-Table2[[#This Row],[TOT_STD_COST (€)]]</f>
        <v>-1481.6999999999989</v>
      </c>
      <c r="O4" s="28">
        <f>Table2[[#This Row],[QTA_SCARTO]]/Table2[[#This Row],[QTA_LOTTO]]</f>
        <v>0.1</v>
      </c>
      <c r="P4" s="19"/>
      <c r="Q4" s="19"/>
    </row>
    <row r="5" spans="1:17" x14ac:dyDescent="0.3">
      <c r="A5" s="17" t="s">
        <v>26</v>
      </c>
      <c r="B5" s="21">
        <v>46289</v>
      </c>
      <c r="C5" s="17" t="s">
        <v>28</v>
      </c>
      <c r="D5" s="17" t="s">
        <v>29</v>
      </c>
      <c r="E5" s="17" t="s">
        <v>30</v>
      </c>
      <c r="F5" s="18">
        <v>150</v>
      </c>
      <c r="G5" s="18">
        <v>130</v>
      </c>
      <c r="H5" s="18">
        <v>20</v>
      </c>
      <c r="I5" s="19">
        <v>65</v>
      </c>
      <c r="J5" s="19">
        <v>61.71</v>
      </c>
      <c r="K5" s="17" t="s">
        <v>395</v>
      </c>
      <c r="L5" s="19">
        <f>Table2[[#This Row],[QTA_LOTTO]]*Table2[[#This Row],[COSTO_STD_UNITARIO]]</f>
        <v>9750</v>
      </c>
      <c r="M5" s="19">
        <f>Table2[[#This Row],[QTA_PRODOTTA_EFF]]*Table2[[#This Row],[COSTO_EFF_UNITARIO]]</f>
        <v>8022.3</v>
      </c>
      <c r="N5" s="19">
        <f>Table2[[#This Row],[TOT_EFF_COST (€)]]-Table2[[#This Row],[TOT_STD_COST (€)]]</f>
        <v>-1727.6999999999998</v>
      </c>
      <c r="O5" s="28">
        <f>Table2[[#This Row],[QTA_SCARTO]]/Table2[[#This Row],[QTA_LOTTO]]</f>
        <v>0.13333333333333333</v>
      </c>
      <c r="P5" s="19"/>
      <c r="Q5" s="19"/>
    </row>
    <row r="6" spans="1:17" x14ac:dyDescent="0.3">
      <c r="A6" s="17" t="s">
        <v>31</v>
      </c>
      <c r="B6" s="21">
        <v>46288</v>
      </c>
      <c r="C6" s="17" t="s">
        <v>38</v>
      </c>
      <c r="D6" s="17" t="s">
        <v>34</v>
      </c>
      <c r="E6" s="17" t="s">
        <v>35</v>
      </c>
      <c r="F6" s="18">
        <v>500</v>
      </c>
      <c r="G6" s="18">
        <v>493</v>
      </c>
      <c r="H6" s="18">
        <v>7</v>
      </c>
      <c r="I6" s="19">
        <v>210</v>
      </c>
      <c r="J6" s="19">
        <v>203.19</v>
      </c>
      <c r="K6" s="17" t="s">
        <v>25</v>
      </c>
      <c r="L6" s="19">
        <f>Table2[[#This Row],[QTA_LOTTO]]*Table2[[#This Row],[COSTO_STD_UNITARIO]]</f>
        <v>105000</v>
      </c>
      <c r="M6" s="19">
        <f>Table2[[#This Row],[QTA_PRODOTTA_EFF]]*Table2[[#This Row],[COSTO_EFF_UNITARIO]]</f>
        <v>100172.67</v>
      </c>
      <c r="N6" s="19">
        <f>Table2[[#This Row],[TOT_EFF_COST (€)]]-Table2[[#This Row],[TOT_STD_COST (€)]]</f>
        <v>-4827.3300000000017</v>
      </c>
      <c r="O6" s="28">
        <f>Table2[[#This Row],[QTA_SCARTO]]/Table2[[#This Row],[QTA_LOTTO]]</f>
        <v>1.4E-2</v>
      </c>
      <c r="P6" s="19"/>
      <c r="Q6" s="19"/>
    </row>
    <row r="7" spans="1:17" x14ac:dyDescent="0.3">
      <c r="A7" s="17" t="s">
        <v>36</v>
      </c>
      <c r="B7" s="21">
        <v>46216</v>
      </c>
      <c r="C7" s="17" t="s">
        <v>38</v>
      </c>
      <c r="D7" s="17" t="s">
        <v>20</v>
      </c>
      <c r="E7" s="17" t="s">
        <v>21</v>
      </c>
      <c r="F7" s="18">
        <v>1000</v>
      </c>
      <c r="G7" s="18">
        <v>920</v>
      </c>
      <c r="H7" s="18">
        <v>80</v>
      </c>
      <c r="I7" s="19">
        <v>120</v>
      </c>
      <c r="J7" s="19">
        <v>115.37</v>
      </c>
      <c r="K7" s="17" t="s">
        <v>39</v>
      </c>
      <c r="L7" s="19">
        <f>Table2[[#This Row],[QTA_LOTTO]]*Table2[[#This Row],[COSTO_STD_UNITARIO]]</f>
        <v>120000</v>
      </c>
      <c r="M7" s="19">
        <f>Table2[[#This Row],[QTA_PRODOTTA_EFF]]*Table2[[#This Row],[COSTO_EFF_UNITARIO]]</f>
        <v>106140.40000000001</v>
      </c>
      <c r="N7" s="19">
        <f>Table2[[#This Row],[TOT_EFF_COST (€)]]-Table2[[#This Row],[TOT_STD_COST (€)]]</f>
        <v>-13859.599999999991</v>
      </c>
      <c r="O7" s="28">
        <f>Table2[[#This Row],[QTA_SCARTO]]/Table2[[#This Row],[QTA_LOTTO]]</f>
        <v>0.08</v>
      </c>
      <c r="P7" s="19"/>
      <c r="Q7" s="19"/>
    </row>
    <row r="8" spans="1:17" x14ac:dyDescent="0.3">
      <c r="A8" s="17" t="s">
        <v>40</v>
      </c>
      <c r="B8" s="21">
        <v>46354</v>
      </c>
      <c r="C8" s="17" t="s">
        <v>13</v>
      </c>
      <c r="D8" s="17" t="s">
        <v>42</v>
      </c>
      <c r="E8" s="17" t="s">
        <v>43</v>
      </c>
      <c r="F8" s="18">
        <v>500</v>
      </c>
      <c r="G8" s="18">
        <v>485</v>
      </c>
      <c r="H8" s="18">
        <v>15</v>
      </c>
      <c r="I8" s="19">
        <v>150</v>
      </c>
      <c r="J8" s="19">
        <v>144.9</v>
      </c>
      <c r="K8" s="17" t="s">
        <v>16</v>
      </c>
      <c r="L8" s="19">
        <f>Table2[[#This Row],[QTA_LOTTO]]*Table2[[#This Row],[COSTO_STD_UNITARIO]]</f>
        <v>75000</v>
      </c>
      <c r="M8" s="19">
        <f>Table2[[#This Row],[QTA_PRODOTTA_EFF]]*Table2[[#This Row],[COSTO_EFF_UNITARIO]]</f>
        <v>70276.5</v>
      </c>
      <c r="N8" s="19">
        <f>Table2[[#This Row],[TOT_EFF_COST (€)]]-Table2[[#This Row],[TOT_STD_COST (€)]]</f>
        <v>-4723.5</v>
      </c>
      <c r="O8" s="28">
        <f>Table2[[#This Row],[QTA_SCARTO]]/Table2[[#This Row],[QTA_LOTTO]]</f>
        <v>0.03</v>
      </c>
      <c r="P8" s="19"/>
      <c r="Q8" s="19"/>
    </row>
    <row r="9" spans="1:17" x14ac:dyDescent="0.3">
      <c r="A9" s="17" t="s">
        <v>44</v>
      </c>
      <c r="B9" s="21">
        <v>46233</v>
      </c>
      <c r="C9" s="17" t="s">
        <v>38</v>
      </c>
      <c r="D9" s="17" t="s">
        <v>46</v>
      </c>
      <c r="E9" s="17" t="s">
        <v>47</v>
      </c>
      <c r="F9" s="18">
        <v>500</v>
      </c>
      <c r="G9" s="18">
        <v>484</v>
      </c>
      <c r="H9" s="18">
        <v>16</v>
      </c>
      <c r="I9" s="19">
        <v>35</v>
      </c>
      <c r="J9" s="19">
        <v>38.08</v>
      </c>
      <c r="K9" s="17" t="s">
        <v>25</v>
      </c>
      <c r="L9" s="19">
        <f>Table2[[#This Row],[QTA_LOTTO]]*Table2[[#This Row],[COSTO_STD_UNITARIO]]</f>
        <v>17500</v>
      </c>
      <c r="M9" s="19">
        <f>Table2[[#This Row],[QTA_PRODOTTA_EFF]]*Table2[[#This Row],[COSTO_EFF_UNITARIO]]</f>
        <v>18430.719999999998</v>
      </c>
      <c r="N9" s="19">
        <f>Table2[[#This Row],[TOT_EFF_COST (€)]]-Table2[[#This Row],[TOT_STD_COST (€)]]</f>
        <v>930.71999999999753</v>
      </c>
      <c r="O9" s="28">
        <f>Table2[[#This Row],[QTA_SCARTO]]/Table2[[#This Row],[QTA_LOTTO]]</f>
        <v>3.2000000000000001E-2</v>
      </c>
      <c r="P9" s="19"/>
      <c r="Q9" s="19"/>
    </row>
    <row r="10" spans="1:17" x14ac:dyDescent="0.3">
      <c r="A10" s="17" t="s">
        <v>48</v>
      </c>
      <c r="B10" s="21">
        <v>46305</v>
      </c>
      <c r="C10" s="17" t="s">
        <v>28</v>
      </c>
      <c r="D10" s="17" t="s">
        <v>46</v>
      </c>
      <c r="E10" s="17" t="s">
        <v>47</v>
      </c>
      <c r="F10" s="18">
        <v>200</v>
      </c>
      <c r="G10" s="18">
        <v>184</v>
      </c>
      <c r="H10" s="18">
        <v>16</v>
      </c>
      <c r="I10" s="19">
        <v>35</v>
      </c>
      <c r="J10" s="19">
        <v>38.58</v>
      </c>
      <c r="K10" s="17" t="s">
        <v>25</v>
      </c>
      <c r="L10" s="19">
        <f>Table2[[#This Row],[QTA_LOTTO]]*Table2[[#This Row],[COSTO_STD_UNITARIO]]</f>
        <v>7000</v>
      </c>
      <c r="M10" s="19">
        <f>Table2[[#This Row],[QTA_PRODOTTA_EFF]]*Table2[[#This Row],[COSTO_EFF_UNITARIO]]</f>
        <v>7098.7199999999993</v>
      </c>
      <c r="N10" s="19">
        <f>Table2[[#This Row],[TOT_EFF_COST (€)]]-Table2[[#This Row],[TOT_STD_COST (€)]]</f>
        <v>98.719999999999345</v>
      </c>
      <c r="O10" s="28">
        <f>Table2[[#This Row],[QTA_SCARTO]]/Table2[[#This Row],[QTA_LOTTO]]</f>
        <v>0.08</v>
      </c>
      <c r="P10" s="19"/>
      <c r="Q10" s="19"/>
    </row>
    <row r="11" spans="1:17" x14ac:dyDescent="0.3">
      <c r="A11" s="17" t="s">
        <v>51</v>
      </c>
      <c r="B11" s="21">
        <v>46333</v>
      </c>
      <c r="C11" s="17" t="s">
        <v>38</v>
      </c>
      <c r="D11" s="17" t="s">
        <v>14</v>
      </c>
      <c r="E11" s="17" t="s">
        <v>15</v>
      </c>
      <c r="F11" s="18">
        <v>200</v>
      </c>
      <c r="G11" s="18">
        <v>182</v>
      </c>
      <c r="H11" s="18">
        <v>18</v>
      </c>
      <c r="I11" s="19">
        <v>45</v>
      </c>
      <c r="J11" s="19">
        <v>43.96</v>
      </c>
      <c r="K11" s="17" t="s">
        <v>25</v>
      </c>
      <c r="L11" s="19">
        <f>Table2[[#This Row],[QTA_LOTTO]]*Table2[[#This Row],[COSTO_STD_UNITARIO]]</f>
        <v>9000</v>
      </c>
      <c r="M11" s="19">
        <f>Table2[[#This Row],[QTA_PRODOTTA_EFF]]*Table2[[#This Row],[COSTO_EFF_UNITARIO]]</f>
        <v>8000.72</v>
      </c>
      <c r="N11" s="19">
        <f>Table2[[#This Row],[TOT_EFF_COST (€)]]-Table2[[#This Row],[TOT_STD_COST (€)]]</f>
        <v>-999.27999999999975</v>
      </c>
      <c r="O11" s="28">
        <f>Table2[[#This Row],[QTA_SCARTO]]/Table2[[#This Row],[QTA_LOTTO]]</f>
        <v>0.09</v>
      </c>
      <c r="P11" s="19"/>
      <c r="Q11" s="19"/>
    </row>
    <row r="12" spans="1:17" x14ac:dyDescent="0.3">
      <c r="A12" s="17" t="s">
        <v>53</v>
      </c>
      <c r="B12" s="21">
        <v>46224</v>
      </c>
      <c r="C12" s="17" t="s">
        <v>38</v>
      </c>
      <c r="D12" s="17" t="s">
        <v>14</v>
      </c>
      <c r="E12" s="17" t="s">
        <v>15</v>
      </c>
      <c r="F12" s="18">
        <v>200</v>
      </c>
      <c r="G12" s="18">
        <v>196</v>
      </c>
      <c r="H12" s="18">
        <v>4</v>
      </c>
      <c r="I12" s="19">
        <v>45</v>
      </c>
      <c r="J12" s="19">
        <v>45.49</v>
      </c>
      <c r="K12" s="17" t="s">
        <v>55</v>
      </c>
      <c r="L12" s="19">
        <f>Table2[[#This Row],[QTA_LOTTO]]*Table2[[#This Row],[COSTO_STD_UNITARIO]]</f>
        <v>9000</v>
      </c>
      <c r="M12" s="19">
        <f>Table2[[#This Row],[QTA_PRODOTTA_EFF]]*Table2[[#This Row],[COSTO_EFF_UNITARIO]]</f>
        <v>8916.0400000000009</v>
      </c>
      <c r="N12" s="19">
        <f>Table2[[#This Row],[TOT_EFF_COST (€)]]-Table2[[#This Row],[TOT_STD_COST (€)]]</f>
        <v>-83.959999999999127</v>
      </c>
      <c r="O12" s="28">
        <f>Table2[[#This Row],[QTA_SCARTO]]/Table2[[#This Row],[QTA_LOTTO]]</f>
        <v>0.02</v>
      </c>
      <c r="P12" s="19"/>
      <c r="Q12" s="19"/>
    </row>
    <row r="13" spans="1:17" x14ac:dyDescent="0.3">
      <c r="A13" s="17" t="s">
        <v>56</v>
      </c>
      <c r="B13" s="21">
        <v>46268</v>
      </c>
      <c r="C13" s="17" t="s">
        <v>38</v>
      </c>
      <c r="D13" s="17" t="s">
        <v>58</v>
      </c>
      <c r="E13" s="17" t="s">
        <v>59</v>
      </c>
      <c r="F13" s="18">
        <v>250</v>
      </c>
      <c r="G13" s="18">
        <v>228</v>
      </c>
      <c r="H13" s="18">
        <v>22</v>
      </c>
      <c r="I13" s="19">
        <v>340</v>
      </c>
      <c r="J13" s="19">
        <v>354.02</v>
      </c>
      <c r="K13" s="17" t="s">
        <v>55</v>
      </c>
      <c r="L13" s="19">
        <f>Table2[[#This Row],[QTA_LOTTO]]*Table2[[#This Row],[COSTO_STD_UNITARIO]]</f>
        <v>85000</v>
      </c>
      <c r="M13" s="19">
        <f>Table2[[#This Row],[QTA_PRODOTTA_EFF]]*Table2[[#This Row],[COSTO_EFF_UNITARIO]]</f>
        <v>80716.56</v>
      </c>
      <c r="N13" s="19">
        <f>Table2[[#This Row],[TOT_EFF_COST (€)]]-Table2[[#This Row],[TOT_STD_COST (€)]]</f>
        <v>-4283.4400000000023</v>
      </c>
      <c r="O13" s="28">
        <f>Table2[[#This Row],[QTA_SCARTO]]/Table2[[#This Row],[QTA_LOTTO]]</f>
        <v>8.7999999999999995E-2</v>
      </c>
      <c r="P13" s="19"/>
      <c r="Q13" s="19"/>
    </row>
    <row r="14" spans="1:17" x14ac:dyDescent="0.3">
      <c r="A14" s="17" t="s">
        <v>60</v>
      </c>
      <c r="B14" s="21">
        <v>46336</v>
      </c>
      <c r="C14" s="17" t="s">
        <v>28</v>
      </c>
      <c r="D14" s="17" t="s">
        <v>46</v>
      </c>
      <c r="E14" s="17" t="s">
        <v>47</v>
      </c>
      <c r="F14" s="18">
        <v>300</v>
      </c>
      <c r="G14" s="18">
        <v>285</v>
      </c>
      <c r="H14" s="18">
        <v>15</v>
      </c>
      <c r="I14" s="19">
        <v>35</v>
      </c>
      <c r="J14" s="19">
        <v>40.44</v>
      </c>
      <c r="K14" s="17" t="s">
        <v>39</v>
      </c>
      <c r="L14" s="19">
        <f>Table2[[#This Row],[QTA_LOTTO]]*Table2[[#This Row],[COSTO_STD_UNITARIO]]</f>
        <v>10500</v>
      </c>
      <c r="M14" s="19">
        <f>Table2[[#This Row],[QTA_PRODOTTA_EFF]]*Table2[[#This Row],[COSTO_EFF_UNITARIO]]</f>
        <v>11525.4</v>
      </c>
      <c r="N14" s="19">
        <f>Table2[[#This Row],[TOT_EFF_COST (€)]]-Table2[[#This Row],[TOT_STD_COST (€)]]</f>
        <v>1025.3999999999996</v>
      </c>
      <c r="O14" s="28">
        <f>Table2[[#This Row],[QTA_SCARTO]]/Table2[[#This Row],[QTA_LOTTO]]</f>
        <v>0.05</v>
      </c>
      <c r="P14" s="19"/>
      <c r="Q14" s="19"/>
    </row>
    <row r="15" spans="1:17" x14ac:dyDescent="0.3">
      <c r="A15" s="17" t="s">
        <v>62</v>
      </c>
      <c r="B15" s="21">
        <v>46304</v>
      </c>
      <c r="C15" s="17" t="s">
        <v>28</v>
      </c>
      <c r="D15" s="17" t="s">
        <v>42</v>
      </c>
      <c r="E15" s="17" t="s">
        <v>43</v>
      </c>
      <c r="F15" s="18">
        <v>150</v>
      </c>
      <c r="G15" s="18">
        <v>137</v>
      </c>
      <c r="H15" s="18">
        <v>13</v>
      </c>
      <c r="I15" s="19">
        <v>150</v>
      </c>
      <c r="J15" s="19">
        <v>144.91999999999999</v>
      </c>
      <c r="K15" s="17" t="s">
        <v>55</v>
      </c>
      <c r="L15" s="19">
        <f>Table2[[#This Row],[QTA_LOTTO]]*Table2[[#This Row],[COSTO_STD_UNITARIO]]</f>
        <v>22500</v>
      </c>
      <c r="M15" s="19">
        <f>Table2[[#This Row],[QTA_PRODOTTA_EFF]]*Table2[[#This Row],[COSTO_EFF_UNITARIO]]</f>
        <v>19854.039999999997</v>
      </c>
      <c r="N15" s="19">
        <f>Table2[[#This Row],[TOT_EFF_COST (€)]]-Table2[[#This Row],[TOT_STD_COST (€)]]</f>
        <v>-2645.9600000000028</v>
      </c>
      <c r="O15" s="28">
        <f>Table2[[#This Row],[QTA_SCARTO]]/Table2[[#This Row],[QTA_LOTTO]]</f>
        <v>8.666666666666667E-2</v>
      </c>
      <c r="P15" s="19"/>
      <c r="Q15" s="19"/>
    </row>
    <row r="16" spans="1:17" x14ac:dyDescent="0.3">
      <c r="A16" s="17" t="s">
        <v>64</v>
      </c>
      <c r="B16" s="21">
        <v>46261</v>
      </c>
      <c r="C16" s="17" t="s">
        <v>28</v>
      </c>
      <c r="D16" s="17" t="s">
        <v>20</v>
      </c>
      <c r="E16" s="17" t="s">
        <v>21</v>
      </c>
      <c r="F16" s="18">
        <v>150</v>
      </c>
      <c r="G16" s="18">
        <v>129</v>
      </c>
      <c r="H16" s="18">
        <v>21</v>
      </c>
      <c r="I16" s="19">
        <v>120</v>
      </c>
      <c r="J16" s="19">
        <v>113.38</v>
      </c>
      <c r="K16" s="17" t="s">
        <v>16</v>
      </c>
      <c r="L16" s="19">
        <f>Table2[[#This Row],[QTA_LOTTO]]*Table2[[#This Row],[COSTO_STD_UNITARIO]]</f>
        <v>18000</v>
      </c>
      <c r="M16" s="19">
        <f>Table2[[#This Row],[QTA_PRODOTTA_EFF]]*Table2[[#This Row],[COSTO_EFF_UNITARIO]]</f>
        <v>14626.019999999999</v>
      </c>
      <c r="N16" s="19">
        <f>Table2[[#This Row],[TOT_EFF_COST (€)]]-Table2[[#This Row],[TOT_STD_COST (€)]]</f>
        <v>-3373.9800000000014</v>
      </c>
      <c r="O16" s="28">
        <f>Table2[[#This Row],[QTA_SCARTO]]/Table2[[#This Row],[QTA_LOTTO]]</f>
        <v>0.14000000000000001</v>
      </c>
      <c r="P16" s="19"/>
      <c r="Q16" s="19"/>
    </row>
    <row r="17" spans="1:17" x14ac:dyDescent="0.3">
      <c r="A17" s="17" t="s">
        <v>67</v>
      </c>
      <c r="B17" s="21">
        <v>46217</v>
      </c>
      <c r="C17" s="17" t="s">
        <v>28</v>
      </c>
      <c r="D17" s="17" t="s">
        <v>29</v>
      </c>
      <c r="E17" s="17" t="s">
        <v>30</v>
      </c>
      <c r="F17" s="18">
        <v>100</v>
      </c>
      <c r="G17" s="18">
        <v>85</v>
      </c>
      <c r="H17" s="18">
        <v>15</v>
      </c>
      <c r="I17" s="19">
        <v>65</v>
      </c>
      <c r="J17" s="19">
        <v>61.83</v>
      </c>
      <c r="K17" s="17" t="s">
        <v>25</v>
      </c>
      <c r="L17" s="19">
        <f>Table2[[#This Row],[QTA_LOTTO]]*Table2[[#This Row],[COSTO_STD_UNITARIO]]</f>
        <v>6500</v>
      </c>
      <c r="M17" s="19">
        <f>Table2[[#This Row],[QTA_PRODOTTA_EFF]]*Table2[[#This Row],[COSTO_EFF_UNITARIO]]</f>
        <v>5255.55</v>
      </c>
      <c r="N17" s="19">
        <f>Table2[[#This Row],[TOT_EFF_COST (€)]]-Table2[[#This Row],[TOT_STD_COST (€)]]</f>
        <v>-1244.4499999999998</v>
      </c>
      <c r="O17" s="28">
        <f>Table2[[#This Row],[QTA_SCARTO]]/Table2[[#This Row],[QTA_LOTTO]]</f>
        <v>0.15</v>
      </c>
      <c r="P17" s="19"/>
      <c r="Q17" s="19"/>
    </row>
    <row r="18" spans="1:17" x14ac:dyDescent="0.3">
      <c r="A18" s="17" t="s">
        <v>69</v>
      </c>
      <c r="B18" s="21">
        <v>46307</v>
      </c>
      <c r="C18" s="17" t="s">
        <v>28</v>
      </c>
      <c r="D18" s="17" t="s">
        <v>46</v>
      </c>
      <c r="E18" s="17" t="s">
        <v>47</v>
      </c>
      <c r="F18" s="18">
        <v>300</v>
      </c>
      <c r="G18" s="18">
        <v>293</v>
      </c>
      <c r="H18" s="18">
        <v>7</v>
      </c>
      <c r="I18" s="19">
        <v>35</v>
      </c>
      <c r="J18" s="19">
        <v>40.6</v>
      </c>
      <c r="K18" s="17" t="s">
        <v>16</v>
      </c>
      <c r="L18" s="19">
        <f>Table2[[#This Row],[QTA_LOTTO]]*Table2[[#This Row],[COSTO_STD_UNITARIO]]</f>
        <v>10500</v>
      </c>
      <c r="M18" s="19">
        <f>Table2[[#This Row],[QTA_PRODOTTA_EFF]]*Table2[[#This Row],[COSTO_EFF_UNITARIO]]</f>
        <v>11895.800000000001</v>
      </c>
      <c r="N18" s="19">
        <f>Table2[[#This Row],[TOT_EFF_COST (€)]]-Table2[[#This Row],[TOT_STD_COST (€)]]</f>
        <v>1395.8000000000011</v>
      </c>
      <c r="O18" s="28">
        <f>Table2[[#This Row],[QTA_SCARTO]]/Table2[[#This Row],[QTA_LOTTO]]</f>
        <v>2.3333333333333334E-2</v>
      </c>
      <c r="P18" s="19"/>
      <c r="Q18" s="19"/>
    </row>
    <row r="19" spans="1:17" x14ac:dyDescent="0.3">
      <c r="A19" s="17" t="s">
        <v>71</v>
      </c>
      <c r="B19" s="21">
        <v>46229</v>
      </c>
      <c r="C19" s="17" t="s">
        <v>38</v>
      </c>
      <c r="D19" s="17" t="s">
        <v>46</v>
      </c>
      <c r="E19" s="17" t="s">
        <v>47</v>
      </c>
      <c r="F19" s="18">
        <v>200</v>
      </c>
      <c r="G19" s="18">
        <v>184</v>
      </c>
      <c r="H19" s="18">
        <v>16</v>
      </c>
      <c r="I19" s="19">
        <v>35</v>
      </c>
      <c r="J19" s="19">
        <v>39.93</v>
      </c>
      <c r="K19" s="17" t="s">
        <v>22</v>
      </c>
      <c r="L19" s="19">
        <f>Table2[[#This Row],[QTA_LOTTO]]*Table2[[#This Row],[COSTO_STD_UNITARIO]]</f>
        <v>7000</v>
      </c>
      <c r="M19" s="19">
        <f>Table2[[#This Row],[QTA_PRODOTTA_EFF]]*Table2[[#This Row],[COSTO_EFF_UNITARIO]]</f>
        <v>7347.12</v>
      </c>
      <c r="N19" s="19">
        <f>Table2[[#This Row],[TOT_EFF_COST (€)]]-Table2[[#This Row],[TOT_STD_COST (€)]]</f>
        <v>347.11999999999989</v>
      </c>
      <c r="O19" s="28">
        <f>Table2[[#This Row],[QTA_SCARTO]]/Table2[[#This Row],[QTA_LOTTO]]</f>
        <v>0.08</v>
      </c>
      <c r="P19" s="19"/>
      <c r="Q19" s="19"/>
    </row>
    <row r="20" spans="1:17" x14ac:dyDescent="0.3">
      <c r="A20" s="17" t="s">
        <v>73</v>
      </c>
      <c r="B20" s="21">
        <v>46319</v>
      </c>
      <c r="C20" s="17" t="s">
        <v>13</v>
      </c>
      <c r="D20" s="17" t="s">
        <v>14</v>
      </c>
      <c r="E20" s="17" t="s">
        <v>15</v>
      </c>
      <c r="F20" s="18">
        <v>500</v>
      </c>
      <c r="G20" s="18">
        <v>487</v>
      </c>
      <c r="H20" s="18">
        <v>13</v>
      </c>
      <c r="I20" s="19">
        <v>45</v>
      </c>
      <c r="J20" s="19">
        <v>44.94</v>
      </c>
      <c r="K20" s="17" t="s">
        <v>25</v>
      </c>
      <c r="L20" s="19">
        <f>Table2[[#This Row],[QTA_LOTTO]]*Table2[[#This Row],[COSTO_STD_UNITARIO]]</f>
        <v>22500</v>
      </c>
      <c r="M20" s="19">
        <f>Table2[[#This Row],[QTA_PRODOTTA_EFF]]*Table2[[#This Row],[COSTO_EFF_UNITARIO]]</f>
        <v>21885.78</v>
      </c>
      <c r="N20" s="19">
        <f>Table2[[#This Row],[TOT_EFF_COST (€)]]-Table2[[#This Row],[TOT_STD_COST (€)]]</f>
        <v>-614.22000000000116</v>
      </c>
      <c r="O20" s="28">
        <f>Table2[[#This Row],[QTA_SCARTO]]/Table2[[#This Row],[QTA_LOTTO]]</f>
        <v>2.5999999999999999E-2</v>
      </c>
      <c r="P20" s="19"/>
      <c r="Q20" s="19"/>
    </row>
    <row r="21" spans="1:17" x14ac:dyDescent="0.3">
      <c r="A21" s="17" t="s">
        <v>75</v>
      </c>
      <c r="B21" s="21">
        <v>46220</v>
      </c>
      <c r="C21" s="17" t="s">
        <v>13</v>
      </c>
      <c r="D21" s="17" t="s">
        <v>14</v>
      </c>
      <c r="E21" s="17" t="s">
        <v>15</v>
      </c>
      <c r="F21" s="18">
        <v>150</v>
      </c>
      <c r="G21" s="18">
        <v>147</v>
      </c>
      <c r="H21" s="18">
        <v>3</v>
      </c>
      <c r="I21" s="19">
        <v>45</v>
      </c>
      <c r="J21" s="19">
        <v>40.92</v>
      </c>
      <c r="K21" s="17" t="s">
        <v>22</v>
      </c>
      <c r="L21" s="19">
        <f>Table2[[#This Row],[QTA_LOTTO]]*Table2[[#This Row],[COSTO_STD_UNITARIO]]</f>
        <v>6750</v>
      </c>
      <c r="M21" s="19">
        <f>Table2[[#This Row],[QTA_PRODOTTA_EFF]]*Table2[[#This Row],[COSTO_EFF_UNITARIO]]</f>
        <v>6015.2400000000007</v>
      </c>
      <c r="N21" s="19">
        <f>Table2[[#This Row],[TOT_EFF_COST (€)]]-Table2[[#This Row],[TOT_STD_COST (€)]]</f>
        <v>-734.75999999999931</v>
      </c>
      <c r="O21" s="28">
        <f>Table2[[#This Row],[QTA_SCARTO]]/Table2[[#This Row],[QTA_LOTTO]]</f>
        <v>0.02</v>
      </c>
      <c r="P21" s="19"/>
      <c r="Q21" s="19"/>
    </row>
    <row r="22" spans="1:17" x14ac:dyDescent="0.3">
      <c r="A22" s="17" t="s">
        <v>77</v>
      </c>
      <c r="B22" s="21">
        <v>46267</v>
      </c>
      <c r="C22" s="17" t="s">
        <v>28</v>
      </c>
      <c r="D22" s="17" t="s">
        <v>46</v>
      </c>
      <c r="E22" s="17" t="s">
        <v>47</v>
      </c>
      <c r="F22" s="18">
        <v>150</v>
      </c>
      <c r="G22" s="18">
        <v>138</v>
      </c>
      <c r="H22" s="18">
        <v>12</v>
      </c>
      <c r="I22" s="19">
        <v>35</v>
      </c>
      <c r="J22" s="19">
        <v>36.909999999999997</v>
      </c>
      <c r="K22" s="17" t="s">
        <v>25</v>
      </c>
      <c r="L22" s="19">
        <f>Table2[[#This Row],[QTA_LOTTO]]*Table2[[#This Row],[COSTO_STD_UNITARIO]]</f>
        <v>5250</v>
      </c>
      <c r="M22" s="19">
        <f>Table2[[#This Row],[QTA_PRODOTTA_EFF]]*Table2[[#This Row],[COSTO_EFF_UNITARIO]]</f>
        <v>5093.58</v>
      </c>
      <c r="N22" s="19">
        <f>Table2[[#This Row],[TOT_EFF_COST (€)]]-Table2[[#This Row],[TOT_STD_COST (€)]]</f>
        <v>-156.42000000000007</v>
      </c>
      <c r="O22" s="28">
        <f>Table2[[#This Row],[QTA_SCARTO]]/Table2[[#This Row],[QTA_LOTTO]]</f>
        <v>0.08</v>
      </c>
      <c r="P22" s="19"/>
      <c r="Q22" s="19"/>
    </row>
    <row r="23" spans="1:17" x14ac:dyDescent="0.3">
      <c r="A23" s="17" t="s">
        <v>79</v>
      </c>
      <c r="B23" s="21">
        <v>46301</v>
      </c>
      <c r="C23" s="17" t="s">
        <v>38</v>
      </c>
      <c r="D23" s="17" t="s">
        <v>58</v>
      </c>
      <c r="E23" s="17" t="s">
        <v>59</v>
      </c>
      <c r="F23" s="18">
        <v>250</v>
      </c>
      <c r="G23" s="18">
        <v>248</v>
      </c>
      <c r="H23" s="18">
        <v>2</v>
      </c>
      <c r="I23" s="19">
        <v>340</v>
      </c>
      <c r="J23" s="19">
        <v>355.19</v>
      </c>
      <c r="K23" s="17" t="s">
        <v>25</v>
      </c>
      <c r="L23" s="19">
        <f>Table2[[#This Row],[QTA_LOTTO]]*Table2[[#This Row],[COSTO_STD_UNITARIO]]</f>
        <v>85000</v>
      </c>
      <c r="M23" s="19">
        <f>Table2[[#This Row],[QTA_PRODOTTA_EFF]]*Table2[[#This Row],[COSTO_EFF_UNITARIO]]</f>
        <v>88087.12</v>
      </c>
      <c r="N23" s="19">
        <f>Table2[[#This Row],[TOT_EFF_COST (€)]]-Table2[[#This Row],[TOT_STD_COST (€)]]</f>
        <v>3087.1199999999953</v>
      </c>
      <c r="O23" s="28">
        <f>Table2[[#This Row],[QTA_SCARTO]]/Table2[[#This Row],[QTA_LOTTO]]</f>
        <v>8.0000000000000002E-3</v>
      </c>
      <c r="P23" s="19"/>
      <c r="Q23" s="19"/>
    </row>
    <row r="24" spans="1:17" x14ac:dyDescent="0.3">
      <c r="A24" s="17" t="s">
        <v>81</v>
      </c>
      <c r="B24" s="21">
        <v>46310</v>
      </c>
      <c r="C24" s="17" t="s">
        <v>28</v>
      </c>
      <c r="D24" s="17" t="s">
        <v>20</v>
      </c>
      <c r="E24" s="17" t="s">
        <v>21</v>
      </c>
      <c r="F24" s="18">
        <v>150</v>
      </c>
      <c r="G24" s="18">
        <v>136</v>
      </c>
      <c r="H24" s="18">
        <v>14</v>
      </c>
      <c r="I24" s="19">
        <v>120</v>
      </c>
      <c r="J24" s="19">
        <v>115.9</v>
      </c>
      <c r="K24" s="17" t="s">
        <v>25</v>
      </c>
      <c r="L24" s="19">
        <f>Table2[[#This Row],[QTA_LOTTO]]*Table2[[#This Row],[COSTO_STD_UNITARIO]]</f>
        <v>18000</v>
      </c>
      <c r="M24" s="19">
        <f>Table2[[#This Row],[QTA_PRODOTTA_EFF]]*Table2[[#This Row],[COSTO_EFF_UNITARIO]]</f>
        <v>15762.400000000001</v>
      </c>
      <c r="N24" s="19">
        <f>Table2[[#This Row],[TOT_EFF_COST (€)]]-Table2[[#This Row],[TOT_STD_COST (€)]]</f>
        <v>-2237.5999999999985</v>
      </c>
      <c r="O24" s="28">
        <f>Table2[[#This Row],[QTA_SCARTO]]/Table2[[#This Row],[QTA_LOTTO]]</f>
        <v>9.3333333333333338E-2</v>
      </c>
      <c r="P24" s="19"/>
      <c r="Q24" s="19"/>
    </row>
    <row r="25" spans="1:17" x14ac:dyDescent="0.3">
      <c r="A25" s="17" t="s">
        <v>83</v>
      </c>
      <c r="B25" s="21">
        <v>46328</v>
      </c>
      <c r="C25" s="17" t="s">
        <v>28</v>
      </c>
      <c r="D25" s="17" t="s">
        <v>20</v>
      </c>
      <c r="E25" s="17" t="s">
        <v>21</v>
      </c>
      <c r="F25" s="18">
        <v>500</v>
      </c>
      <c r="G25" s="18">
        <v>488</v>
      </c>
      <c r="H25" s="18">
        <v>12</v>
      </c>
      <c r="I25" s="19">
        <v>120</v>
      </c>
      <c r="J25" s="19">
        <v>116.27</v>
      </c>
      <c r="K25" s="17" t="s">
        <v>22</v>
      </c>
      <c r="L25" s="19">
        <f>Table2[[#This Row],[QTA_LOTTO]]*Table2[[#This Row],[COSTO_STD_UNITARIO]]</f>
        <v>60000</v>
      </c>
      <c r="M25" s="19">
        <f>Table2[[#This Row],[QTA_PRODOTTA_EFF]]*Table2[[#This Row],[COSTO_EFF_UNITARIO]]</f>
        <v>56739.759999999995</v>
      </c>
      <c r="N25" s="19">
        <f>Table2[[#This Row],[TOT_EFF_COST (€)]]-Table2[[#This Row],[TOT_STD_COST (€)]]</f>
        <v>-3260.2400000000052</v>
      </c>
      <c r="O25" s="28">
        <f>Table2[[#This Row],[QTA_SCARTO]]/Table2[[#This Row],[QTA_LOTTO]]</f>
        <v>2.4E-2</v>
      </c>
      <c r="P25" s="19"/>
      <c r="Q25" s="19"/>
    </row>
    <row r="26" spans="1:17" x14ac:dyDescent="0.3">
      <c r="A26" s="17" t="s">
        <v>85</v>
      </c>
      <c r="B26" s="21">
        <v>46262</v>
      </c>
      <c r="C26" s="17" t="s">
        <v>13</v>
      </c>
      <c r="D26" s="17" t="s">
        <v>58</v>
      </c>
      <c r="E26" s="17" t="s">
        <v>59</v>
      </c>
      <c r="F26" s="18">
        <v>150</v>
      </c>
      <c r="G26" s="18">
        <v>147</v>
      </c>
      <c r="H26" s="18">
        <v>3</v>
      </c>
      <c r="I26" s="19">
        <v>340</v>
      </c>
      <c r="J26" s="19">
        <v>353.43</v>
      </c>
      <c r="K26" s="17" t="s">
        <v>22</v>
      </c>
      <c r="L26" s="19">
        <f>Table2[[#This Row],[QTA_LOTTO]]*Table2[[#This Row],[COSTO_STD_UNITARIO]]</f>
        <v>51000</v>
      </c>
      <c r="M26" s="19">
        <f>Table2[[#This Row],[QTA_PRODOTTA_EFF]]*Table2[[#This Row],[COSTO_EFF_UNITARIO]]</f>
        <v>51954.21</v>
      </c>
      <c r="N26" s="19">
        <f>Table2[[#This Row],[TOT_EFF_COST (€)]]-Table2[[#This Row],[TOT_STD_COST (€)]]</f>
        <v>954.20999999999913</v>
      </c>
      <c r="O26" s="28">
        <f>Table2[[#This Row],[QTA_SCARTO]]/Table2[[#This Row],[QTA_LOTTO]]</f>
        <v>0.02</v>
      </c>
      <c r="P26" s="19"/>
      <c r="Q26" s="19"/>
    </row>
    <row r="27" spans="1:17" x14ac:dyDescent="0.3">
      <c r="A27" s="17" t="s">
        <v>87</v>
      </c>
      <c r="B27" s="21">
        <v>46211</v>
      </c>
      <c r="C27" s="17" t="s">
        <v>28</v>
      </c>
      <c r="D27" s="17" t="s">
        <v>89</v>
      </c>
      <c r="E27" s="17" t="s">
        <v>90</v>
      </c>
      <c r="F27" s="18">
        <v>300</v>
      </c>
      <c r="G27" s="18">
        <v>291</v>
      </c>
      <c r="H27" s="18">
        <v>9</v>
      </c>
      <c r="I27" s="19">
        <v>85</v>
      </c>
      <c r="J27" s="19">
        <v>88.95</v>
      </c>
      <c r="K27" s="17" t="s">
        <v>25</v>
      </c>
      <c r="L27" s="19">
        <f>Table2[[#This Row],[QTA_LOTTO]]*Table2[[#This Row],[COSTO_STD_UNITARIO]]</f>
        <v>25500</v>
      </c>
      <c r="M27" s="19">
        <f>Table2[[#This Row],[QTA_PRODOTTA_EFF]]*Table2[[#This Row],[COSTO_EFF_UNITARIO]]</f>
        <v>25884.45</v>
      </c>
      <c r="N27" s="19">
        <f>Table2[[#This Row],[TOT_EFF_COST (€)]]-Table2[[#This Row],[TOT_STD_COST (€)]]</f>
        <v>384.45000000000073</v>
      </c>
      <c r="O27" s="28">
        <f>Table2[[#This Row],[QTA_SCARTO]]/Table2[[#This Row],[QTA_LOTTO]]</f>
        <v>0.03</v>
      </c>
      <c r="P27" s="19"/>
      <c r="Q27" s="19"/>
    </row>
    <row r="28" spans="1:17" x14ac:dyDescent="0.3">
      <c r="A28" s="17" t="s">
        <v>91</v>
      </c>
      <c r="B28" s="21">
        <v>46312</v>
      </c>
      <c r="C28" s="17" t="s">
        <v>13</v>
      </c>
      <c r="D28" s="17" t="s">
        <v>58</v>
      </c>
      <c r="E28" s="17" t="s">
        <v>59</v>
      </c>
      <c r="F28" s="18">
        <v>250</v>
      </c>
      <c r="G28" s="18">
        <v>246</v>
      </c>
      <c r="H28" s="18">
        <v>4</v>
      </c>
      <c r="I28" s="19">
        <v>340</v>
      </c>
      <c r="J28" s="19">
        <v>355.65</v>
      </c>
      <c r="K28" s="17" t="s">
        <v>25</v>
      </c>
      <c r="L28" s="19">
        <f>Table2[[#This Row],[QTA_LOTTO]]*Table2[[#This Row],[COSTO_STD_UNITARIO]]</f>
        <v>85000</v>
      </c>
      <c r="M28" s="19">
        <f>Table2[[#This Row],[QTA_PRODOTTA_EFF]]*Table2[[#This Row],[COSTO_EFF_UNITARIO]]</f>
        <v>87489.9</v>
      </c>
      <c r="N28" s="19">
        <f>Table2[[#This Row],[TOT_EFF_COST (€)]]-Table2[[#This Row],[TOT_STD_COST (€)]]</f>
        <v>2489.8999999999942</v>
      </c>
      <c r="O28" s="28">
        <f>Table2[[#This Row],[QTA_SCARTO]]/Table2[[#This Row],[QTA_LOTTO]]</f>
        <v>1.6E-2</v>
      </c>
      <c r="P28" s="19"/>
      <c r="Q28" s="19"/>
    </row>
    <row r="29" spans="1:17" x14ac:dyDescent="0.3">
      <c r="A29" s="17" t="s">
        <v>93</v>
      </c>
      <c r="B29" s="21">
        <v>46320</v>
      </c>
      <c r="C29" s="17" t="s">
        <v>13</v>
      </c>
      <c r="D29" s="17" t="s">
        <v>42</v>
      </c>
      <c r="E29" s="17" t="s">
        <v>43</v>
      </c>
      <c r="F29" s="18">
        <v>200</v>
      </c>
      <c r="G29" s="18">
        <v>197</v>
      </c>
      <c r="H29" s="18">
        <v>3</v>
      </c>
      <c r="I29" s="19">
        <v>150</v>
      </c>
      <c r="J29" s="19">
        <v>145.9</v>
      </c>
      <c r="K29" s="17" t="s">
        <v>55</v>
      </c>
      <c r="L29" s="19">
        <f>Table2[[#This Row],[QTA_LOTTO]]*Table2[[#This Row],[COSTO_STD_UNITARIO]]</f>
        <v>30000</v>
      </c>
      <c r="M29" s="19">
        <f>Table2[[#This Row],[QTA_PRODOTTA_EFF]]*Table2[[#This Row],[COSTO_EFF_UNITARIO]]</f>
        <v>28742.300000000003</v>
      </c>
      <c r="N29" s="19">
        <f>Table2[[#This Row],[TOT_EFF_COST (€)]]-Table2[[#This Row],[TOT_STD_COST (€)]]</f>
        <v>-1257.6999999999971</v>
      </c>
      <c r="O29" s="28">
        <f>Table2[[#This Row],[QTA_SCARTO]]/Table2[[#This Row],[QTA_LOTTO]]</f>
        <v>1.4999999999999999E-2</v>
      </c>
      <c r="P29" s="19"/>
      <c r="Q29" s="19"/>
    </row>
    <row r="30" spans="1:17" x14ac:dyDescent="0.3">
      <c r="A30" s="17" t="s">
        <v>255</v>
      </c>
      <c r="B30" s="21">
        <v>46208</v>
      </c>
      <c r="C30" s="17" t="s">
        <v>38</v>
      </c>
      <c r="D30" s="17" t="s">
        <v>20</v>
      </c>
      <c r="E30" s="17" t="s">
        <v>21</v>
      </c>
      <c r="F30" s="18">
        <v>500</v>
      </c>
      <c r="G30" s="18">
        <v>483</v>
      </c>
      <c r="H30" s="18">
        <v>17</v>
      </c>
      <c r="I30" s="19">
        <v>120</v>
      </c>
      <c r="J30" s="19">
        <v>116.43</v>
      </c>
      <c r="K30" s="17" t="s">
        <v>22</v>
      </c>
      <c r="L30" s="19">
        <f>Table2[[#This Row],[QTA_LOTTO]]*Table2[[#This Row],[COSTO_STD_UNITARIO]]</f>
        <v>60000</v>
      </c>
      <c r="M30" s="19">
        <f>Table2[[#This Row],[QTA_PRODOTTA_EFF]]*Table2[[#This Row],[COSTO_EFF_UNITARIO]]</f>
        <v>56235.69</v>
      </c>
      <c r="N30" s="19">
        <f>Table2[[#This Row],[TOT_EFF_COST (€)]]-Table2[[#This Row],[TOT_STD_COST (€)]]</f>
        <v>-3764.3099999999977</v>
      </c>
      <c r="O30" s="28">
        <f>Table2[[#This Row],[QTA_SCARTO]]/Table2[[#This Row],[QTA_LOTTO]]</f>
        <v>3.4000000000000002E-2</v>
      </c>
      <c r="P30" s="19"/>
      <c r="Q30" s="19"/>
    </row>
    <row r="31" spans="1:17" x14ac:dyDescent="0.3">
      <c r="A31" s="17" t="s">
        <v>97</v>
      </c>
      <c r="B31" s="21">
        <v>46344</v>
      </c>
      <c r="C31" s="17" t="s">
        <v>38</v>
      </c>
      <c r="D31" s="17" t="s">
        <v>29</v>
      </c>
      <c r="E31" s="17" t="s">
        <v>30</v>
      </c>
      <c r="F31" s="18">
        <v>300</v>
      </c>
      <c r="G31" s="18">
        <v>276</v>
      </c>
      <c r="H31" s="18">
        <v>24</v>
      </c>
      <c r="I31" s="19">
        <v>65</v>
      </c>
      <c r="J31" s="19">
        <v>64.66</v>
      </c>
      <c r="K31" s="17" t="s">
        <v>39</v>
      </c>
      <c r="L31" s="19">
        <f>Table2[[#This Row],[QTA_LOTTO]]*Table2[[#This Row],[COSTO_STD_UNITARIO]]</f>
        <v>19500</v>
      </c>
      <c r="M31" s="19">
        <f>Table2[[#This Row],[QTA_PRODOTTA_EFF]]*Table2[[#This Row],[COSTO_EFF_UNITARIO]]</f>
        <v>17846.16</v>
      </c>
      <c r="N31" s="19">
        <f>Table2[[#This Row],[TOT_EFF_COST (€)]]-Table2[[#This Row],[TOT_STD_COST (€)]]</f>
        <v>-1653.8400000000001</v>
      </c>
      <c r="O31" s="28">
        <f>Table2[[#This Row],[QTA_SCARTO]]/Table2[[#This Row],[QTA_LOTTO]]</f>
        <v>0.08</v>
      </c>
      <c r="P31" s="19"/>
      <c r="Q31" s="19"/>
    </row>
    <row r="32" spans="1:17" x14ac:dyDescent="0.3">
      <c r="A32" s="17" t="s">
        <v>99</v>
      </c>
      <c r="B32" s="21">
        <v>46353</v>
      </c>
      <c r="C32" s="17" t="s">
        <v>38</v>
      </c>
      <c r="D32" s="17" t="s">
        <v>46</v>
      </c>
      <c r="E32" s="17" t="s">
        <v>47</v>
      </c>
      <c r="F32" s="18">
        <v>100</v>
      </c>
      <c r="G32" s="18">
        <v>80</v>
      </c>
      <c r="H32" s="18">
        <v>20</v>
      </c>
      <c r="I32" s="19">
        <v>35</v>
      </c>
      <c r="J32" s="19">
        <v>40.57</v>
      </c>
      <c r="K32" s="17" t="s">
        <v>55</v>
      </c>
      <c r="L32" s="19">
        <f>Table2[[#This Row],[QTA_LOTTO]]*Table2[[#This Row],[COSTO_STD_UNITARIO]]</f>
        <v>3500</v>
      </c>
      <c r="M32" s="19">
        <f>Table2[[#This Row],[QTA_PRODOTTA_EFF]]*Table2[[#This Row],[COSTO_EFF_UNITARIO]]</f>
        <v>3245.6</v>
      </c>
      <c r="N32" s="19">
        <f>Table2[[#This Row],[TOT_EFF_COST (€)]]-Table2[[#This Row],[TOT_STD_COST (€)]]</f>
        <v>-254.40000000000009</v>
      </c>
      <c r="O32" s="28">
        <f>Table2[[#This Row],[QTA_SCARTO]]/Table2[[#This Row],[QTA_LOTTO]]</f>
        <v>0.2</v>
      </c>
      <c r="P32" s="19"/>
      <c r="Q32" s="19"/>
    </row>
    <row r="33" spans="1:17" x14ac:dyDescent="0.3">
      <c r="A33" s="17" t="s">
        <v>101</v>
      </c>
      <c r="B33" s="21">
        <v>46349</v>
      </c>
      <c r="C33" s="17" t="s">
        <v>13</v>
      </c>
      <c r="D33" s="17" t="s">
        <v>14</v>
      </c>
      <c r="E33" s="17" t="s">
        <v>15</v>
      </c>
      <c r="F33" s="18">
        <v>100</v>
      </c>
      <c r="G33" s="18">
        <v>85</v>
      </c>
      <c r="H33" s="18">
        <v>15</v>
      </c>
      <c r="I33" s="19">
        <v>45</v>
      </c>
      <c r="J33" s="19">
        <v>43.44</v>
      </c>
      <c r="K33" s="17" t="s">
        <v>55</v>
      </c>
      <c r="L33" s="19">
        <f>Table2[[#This Row],[QTA_LOTTO]]*Table2[[#This Row],[COSTO_STD_UNITARIO]]</f>
        <v>4500</v>
      </c>
      <c r="M33" s="19">
        <f>Table2[[#This Row],[QTA_PRODOTTA_EFF]]*Table2[[#This Row],[COSTO_EFF_UNITARIO]]</f>
        <v>3692.3999999999996</v>
      </c>
      <c r="N33" s="19">
        <f>Table2[[#This Row],[TOT_EFF_COST (€)]]-Table2[[#This Row],[TOT_STD_COST (€)]]</f>
        <v>-807.60000000000036</v>
      </c>
      <c r="O33" s="28">
        <f>Table2[[#This Row],[QTA_SCARTO]]/Table2[[#This Row],[QTA_LOTTO]]</f>
        <v>0.15</v>
      </c>
      <c r="P33" s="19"/>
      <c r="Q33" s="19"/>
    </row>
    <row r="34" spans="1:17" x14ac:dyDescent="0.3">
      <c r="A34" s="17" t="s">
        <v>106</v>
      </c>
      <c r="B34" s="21">
        <v>46298</v>
      </c>
      <c r="C34" s="17" t="s">
        <v>38</v>
      </c>
      <c r="D34" s="17" t="s">
        <v>42</v>
      </c>
      <c r="E34" s="17" t="s">
        <v>43</v>
      </c>
      <c r="F34" s="18">
        <v>100</v>
      </c>
      <c r="G34" s="18">
        <v>77</v>
      </c>
      <c r="H34" s="18">
        <v>23</v>
      </c>
      <c r="I34" s="19">
        <v>150</v>
      </c>
      <c r="J34" s="19">
        <v>145.94</v>
      </c>
      <c r="K34" s="17" t="s">
        <v>39</v>
      </c>
      <c r="L34" s="19">
        <f>Table2[[#This Row],[QTA_LOTTO]]*Table2[[#This Row],[COSTO_STD_UNITARIO]]</f>
        <v>15000</v>
      </c>
      <c r="M34" s="19">
        <f>Table2[[#This Row],[QTA_PRODOTTA_EFF]]*Table2[[#This Row],[COSTO_EFF_UNITARIO]]</f>
        <v>11237.38</v>
      </c>
      <c r="N34" s="19">
        <f>Table2[[#This Row],[TOT_EFF_COST (€)]]-Table2[[#This Row],[TOT_STD_COST (€)]]</f>
        <v>-3762.6200000000008</v>
      </c>
      <c r="O34" s="28">
        <f>Table2[[#This Row],[QTA_SCARTO]]/Table2[[#This Row],[QTA_LOTTO]]</f>
        <v>0.23</v>
      </c>
      <c r="P34" s="19"/>
      <c r="Q34" s="19"/>
    </row>
    <row r="35" spans="1:17" x14ac:dyDescent="0.3">
      <c r="A35" s="17" t="s">
        <v>108</v>
      </c>
      <c r="B35" s="21">
        <v>46242</v>
      </c>
      <c r="C35" s="17" t="s">
        <v>28</v>
      </c>
      <c r="D35" s="17" t="s">
        <v>58</v>
      </c>
      <c r="E35" s="17" t="s">
        <v>59</v>
      </c>
      <c r="F35" s="18">
        <v>300</v>
      </c>
      <c r="G35" s="18">
        <f>CLEAN_Dump_Produzione!$F35-CLEAN_Dump_Produzione!$H35</f>
        <v>276</v>
      </c>
      <c r="H35" s="18">
        <v>24</v>
      </c>
      <c r="I35" s="19">
        <v>340</v>
      </c>
      <c r="J35" s="19">
        <v>356.11</v>
      </c>
      <c r="K35" s="17" t="s">
        <v>22</v>
      </c>
      <c r="L35" s="19">
        <f>Table2[[#This Row],[QTA_LOTTO]]*Table2[[#This Row],[COSTO_STD_UNITARIO]]</f>
        <v>102000</v>
      </c>
      <c r="M35" s="19">
        <f>Table2[[#This Row],[QTA_PRODOTTA_EFF]]*Table2[[#This Row],[COSTO_EFF_UNITARIO]]</f>
        <v>98286.36</v>
      </c>
      <c r="N35" s="19">
        <f>Table2[[#This Row],[TOT_EFF_COST (€)]]-Table2[[#This Row],[TOT_STD_COST (€)]]</f>
        <v>-3713.6399999999994</v>
      </c>
      <c r="O35" s="28">
        <f>Table2[[#This Row],[QTA_SCARTO]]/Table2[[#This Row],[QTA_LOTTO]]</f>
        <v>0.08</v>
      </c>
      <c r="P35" s="19"/>
      <c r="Q35" s="19"/>
    </row>
    <row r="36" spans="1:17" x14ac:dyDescent="0.3">
      <c r="A36" s="17" t="s">
        <v>110</v>
      </c>
      <c r="B36" s="21">
        <v>46260</v>
      </c>
      <c r="C36" s="17" t="s">
        <v>13</v>
      </c>
      <c r="D36" s="17" t="s">
        <v>14</v>
      </c>
      <c r="E36" s="17" t="s">
        <v>15</v>
      </c>
      <c r="F36" s="18">
        <v>1000</v>
      </c>
      <c r="G36" s="18">
        <v>993</v>
      </c>
      <c r="H36" s="18">
        <v>7</v>
      </c>
      <c r="I36" s="19">
        <v>45</v>
      </c>
      <c r="J36" s="19">
        <v>42.06</v>
      </c>
      <c r="K36" s="17" t="s">
        <v>395</v>
      </c>
      <c r="L36" s="19">
        <f>Table2[[#This Row],[QTA_LOTTO]]*Table2[[#This Row],[COSTO_STD_UNITARIO]]</f>
        <v>45000</v>
      </c>
      <c r="M36" s="19">
        <f>Table2[[#This Row],[QTA_PRODOTTA_EFF]]*Table2[[#This Row],[COSTO_EFF_UNITARIO]]</f>
        <v>41765.58</v>
      </c>
      <c r="N36" s="19">
        <f>Table2[[#This Row],[TOT_EFF_COST (€)]]-Table2[[#This Row],[TOT_STD_COST (€)]]</f>
        <v>-3234.4199999999983</v>
      </c>
      <c r="O36" s="28">
        <f>Table2[[#This Row],[QTA_SCARTO]]/Table2[[#This Row],[QTA_LOTTO]]</f>
        <v>7.0000000000000001E-3</v>
      </c>
      <c r="P36" s="19"/>
      <c r="Q36" s="19"/>
    </row>
    <row r="37" spans="1:17" x14ac:dyDescent="0.3">
      <c r="A37" s="17" t="s">
        <v>112</v>
      </c>
      <c r="B37" s="21">
        <v>46340</v>
      </c>
      <c r="C37" s="17" t="s">
        <v>28</v>
      </c>
      <c r="D37" s="17" t="s">
        <v>29</v>
      </c>
      <c r="E37" s="17" t="s">
        <v>30</v>
      </c>
      <c r="F37" s="18">
        <v>300</v>
      </c>
      <c r="G37" s="18">
        <v>287</v>
      </c>
      <c r="H37" s="18">
        <v>13</v>
      </c>
      <c r="I37" s="19">
        <v>65</v>
      </c>
      <c r="J37" s="19">
        <v>61.78</v>
      </c>
      <c r="K37" s="17" t="s">
        <v>55</v>
      </c>
      <c r="L37" s="19">
        <f>Table2[[#This Row],[QTA_LOTTO]]*Table2[[#This Row],[COSTO_STD_UNITARIO]]</f>
        <v>19500</v>
      </c>
      <c r="M37" s="19">
        <f>Table2[[#This Row],[QTA_PRODOTTA_EFF]]*Table2[[#This Row],[COSTO_EFF_UNITARIO]]</f>
        <v>17730.86</v>
      </c>
      <c r="N37" s="19">
        <f>Table2[[#This Row],[TOT_EFF_COST (€)]]-Table2[[#This Row],[TOT_STD_COST (€)]]</f>
        <v>-1769.1399999999994</v>
      </c>
      <c r="O37" s="28">
        <f>Table2[[#This Row],[QTA_SCARTO]]/Table2[[#This Row],[QTA_LOTTO]]</f>
        <v>4.3333333333333335E-2</v>
      </c>
      <c r="P37" s="19"/>
      <c r="Q37" s="19"/>
    </row>
    <row r="38" spans="1:17" x14ac:dyDescent="0.3">
      <c r="A38" s="17" t="s">
        <v>114</v>
      </c>
      <c r="B38" s="21">
        <v>46228</v>
      </c>
      <c r="C38" s="17" t="s">
        <v>13</v>
      </c>
      <c r="D38" s="17" t="s">
        <v>116</v>
      </c>
      <c r="E38" s="17" t="s">
        <v>117</v>
      </c>
      <c r="F38" s="18">
        <v>100</v>
      </c>
      <c r="G38" s="18">
        <v>84</v>
      </c>
      <c r="H38" s="18">
        <v>16</v>
      </c>
      <c r="I38" s="19">
        <v>28</v>
      </c>
      <c r="J38" s="19">
        <v>25.62</v>
      </c>
      <c r="K38" s="17" t="s">
        <v>55</v>
      </c>
      <c r="L38" s="19">
        <f>Table2[[#This Row],[QTA_LOTTO]]*Table2[[#This Row],[COSTO_STD_UNITARIO]]</f>
        <v>2800</v>
      </c>
      <c r="M38" s="19">
        <f>Table2[[#This Row],[QTA_PRODOTTA_EFF]]*Table2[[#This Row],[COSTO_EFF_UNITARIO]]</f>
        <v>2152.08</v>
      </c>
      <c r="N38" s="19">
        <f>Table2[[#This Row],[TOT_EFF_COST (€)]]-Table2[[#This Row],[TOT_STD_COST (€)]]</f>
        <v>-647.92000000000007</v>
      </c>
      <c r="O38" s="28">
        <f>Table2[[#This Row],[QTA_SCARTO]]/Table2[[#This Row],[QTA_LOTTO]]</f>
        <v>0.16</v>
      </c>
      <c r="P38" s="19"/>
      <c r="Q38" s="19"/>
    </row>
    <row r="39" spans="1:17" x14ac:dyDescent="0.3">
      <c r="A39" s="17" t="s">
        <v>118</v>
      </c>
      <c r="B39" s="21">
        <v>46308</v>
      </c>
      <c r="C39" s="17" t="s">
        <v>38</v>
      </c>
      <c r="D39" s="17" t="s">
        <v>34</v>
      </c>
      <c r="E39" s="17" t="s">
        <v>35</v>
      </c>
      <c r="F39" s="18">
        <v>250</v>
      </c>
      <c r="G39" s="18">
        <v>244</v>
      </c>
      <c r="H39" s="18">
        <v>6</v>
      </c>
      <c r="I39" s="19">
        <v>210</v>
      </c>
      <c r="J39" s="19">
        <v>206.23</v>
      </c>
      <c r="K39" s="17" t="s">
        <v>39</v>
      </c>
      <c r="L39" s="19">
        <f>Table2[[#This Row],[QTA_LOTTO]]*Table2[[#This Row],[COSTO_STD_UNITARIO]]</f>
        <v>52500</v>
      </c>
      <c r="M39" s="19">
        <f>Table2[[#This Row],[QTA_PRODOTTA_EFF]]*Table2[[#This Row],[COSTO_EFF_UNITARIO]]</f>
        <v>50320.119999999995</v>
      </c>
      <c r="N39" s="19">
        <f>Table2[[#This Row],[TOT_EFF_COST (€)]]-Table2[[#This Row],[TOT_STD_COST (€)]]</f>
        <v>-2179.8800000000047</v>
      </c>
      <c r="O39" s="28">
        <f>Table2[[#This Row],[QTA_SCARTO]]/Table2[[#This Row],[QTA_LOTTO]]</f>
        <v>2.4E-2</v>
      </c>
      <c r="P39" s="19"/>
      <c r="Q39" s="19"/>
    </row>
    <row r="40" spans="1:17" x14ac:dyDescent="0.3">
      <c r="A40" s="17" t="s">
        <v>120</v>
      </c>
      <c r="B40" s="21">
        <v>46318</v>
      </c>
      <c r="C40" s="17" t="s">
        <v>38</v>
      </c>
      <c r="D40" s="17" t="s">
        <v>29</v>
      </c>
      <c r="E40" s="17" t="s">
        <v>30</v>
      </c>
      <c r="F40" s="18">
        <v>300</v>
      </c>
      <c r="G40" s="18">
        <v>276</v>
      </c>
      <c r="H40" s="18">
        <v>24</v>
      </c>
      <c r="I40" s="19">
        <v>65</v>
      </c>
      <c r="J40" s="19">
        <v>61.5</v>
      </c>
      <c r="K40" s="17" t="s">
        <v>55</v>
      </c>
      <c r="L40" s="19">
        <f>Table2[[#This Row],[QTA_LOTTO]]*Table2[[#This Row],[COSTO_STD_UNITARIO]]</f>
        <v>19500</v>
      </c>
      <c r="M40" s="19">
        <f>Table2[[#This Row],[QTA_PRODOTTA_EFF]]*Table2[[#This Row],[COSTO_EFF_UNITARIO]]</f>
        <v>16974</v>
      </c>
      <c r="N40" s="19">
        <f>Table2[[#This Row],[TOT_EFF_COST (€)]]-Table2[[#This Row],[TOT_STD_COST (€)]]</f>
        <v>-2526</v>
      </c>
      <c r="O40" s="28">
        <f>Table2[[#This Row],[QTA_SCARTO]]/Table2[[#This Row],[QTA_LOTTO]]</f>
        <v>0.08</v>
      </c>
      <c r="P40" s="19"/>
      <c r="Q40" s="19"/>
    </row>
    <row r="41" spans="1:17" x14ac:dyDescent="0.3">
      <c r="A41" s="17" t="s">
        <v>122</v>
      </c>
      <c r="B41" s="21">
        <v>46331</v>
      </c>
      <c r="C41" s="17" t="s">
        <v>13</v>
      </c>
      <c r="D41" s="17" t="s">
        <v>58</v>
      </c>
      <c r="E41" s="17" t="s">
        <v>59</v>
      </c>
      <c r="F41" s="18">
        <v>100</v>
      </c>
      <c r="G41" s="18">
        <v>92</v>
      </c>
      <c r="H41" s="18">
        <v>8</v>
      </c>
      <c r="I41" s="19">
        <v>340</v>
      </c>
      <c r="J41" s="19">
        <v>357.88</v>
      </c>
      <c r="K41" s="17" t="s">
        <v>16</v>
      </c>
      <c r="L41" s="19">
        <f>Table2[[#This Row],[QTA_LOTTO]]*Table2[[#This Row],[COSTO_STD_UNITARIO]]</f>
        <v>34000</v>
      </c>
      <c r="M41" s="19">
        <f>Table2[[#This Row],[QTA_PRODOTTA_EFF]]*Table2[[#This Row],[COSTO_EFF_UNITARIO]]</f>
        <v>32924.959999999999</v>
      </c>
      <c r="N41" s="19">
        <f>Table2[[#This Row],[TOT_EFF_COST (€)]]-Table2[[#This Row],[TOT_STD_COST (€)]]</f>
        <v>-1075.0400000000009</v>
      </c>
      <c r="O41" s="28">
        <f>Table2[[#This Row],[QTA_SCARTO]]/Table2[[#This Row],[QTA_LOTTO]]</f>
        <v>0.08</v>
      </c>
      <c r="P41" s="19"/>
      <c r="Q41" s="19"/>
    </row>
    <row r="42" spans="1:17" x14ac:dyDescent="0.3">
      <c r="A42" s="17" t="s">
        <v>124</v>
      </c>
      <c r="B42" s="21">
        <v>46230</v>
      </c>
      <c r="C42" s="17" t="s">
        <v>13</v>
      </c>
      <c r="D42" s="17" t="s">
        <v>34</v>
      </c>
      <c r="E42" s="17" t="s">
        <v>35</v>
      </c>
      <c r="F42" s="18">
        <v>1000</v>
      </c>
      <c r="G42" s="18">
        <v>981</v>
      </c>
      <c r="H42" s="18">
        <v>19</v>
      </c>
      <c r="I42" s="19">
        <v>210</v>
      </c>
      <c r="J42" s="19">
        <v>205.72</v>
      </c>
      <c r="K42" s="17" t="s">
        <v>25</v>
      </c>
      <c r="L42" s="19">
        <f>Table2[[#This Row],[QTA_LOTTO]]*Table2[[#This Row],[COSTO_STD_UNITARIO]]</f>
        <v>210000</v>
      </c>
      <c r="M42" s="19">
        <f>Table2[[#This Row],[QTA_PRODOTTA_EFF]]*Table2[[#This Row],[COSTO_EFF_UNITARIO]]</f>
        <v>201811.32</v>
      </c>
      <c r="N42" s="19">
        <f>Table2[[#This Row],[TOT_EFF_COST (€)]]-Table2[[#This Row],[TOT_STD_COST (€)]]</f>
        <v>-8188.679999999993</v>
      </c>
      <c r="O42" s="28">
        <f>Table2[[#This Row],[QTA_SCARTO]]/Table2[[#This Row],[QTA_LOTTO]]</f>
        <v>1.9E-2</v>
      </c>
      <c r="P42" s="19"/>
      <c r="Q42" s="19"/>
    </row>
    <row r="43" spans="1:17" x14ac:dyDescent="0.3">
      <c r="A43" s="17" t="s">
        <v>126</v>
      </c>
      <c r="B43" s="21">
        <v>46214</v>
      </c>
      <c r="C43" s="17" t="s">
        <v>13</v>
      </c>
      <c r="D43" s="17" t="s">
        <v>34</v>
      </c>
      <c r="E43" s="17" t="s">
        <v>35</v>
      </c>
      <c r="F43" s="18">
        <v>500</v>
      </c>
      <c r="G43" s="18">
        <v>479</v>
      </c>
      <c r="H43" s="18">
        <v>21</v>
      </c>
      <c r="I43" s="19">
        <v>210</v>
      </c>
      <c r="J43" s="19">
        <v>203.37</v>
      </c>
      <c r="K43" s="17" t="s">
        <v>395</v>
      </c>
      <c r="L43" s="19">
        <f>Table2[[#This Row],[QTA_LOTTO]]*Table2[[#This Row],[COSTO_STD_UNITARIO]]</f>
        <v>105000</v>
      </c>
      <c r="M43" s="19">
        <f>Table2[[#This Row],[QTA_PRODOTTA_EFF]]*Table2[[#This Row],[COSTO_EFF_UNITARIO]]</f>
        <v>97414.23</v>
      </c>
      <c r="N43" s="19">
        <f>Table2[[#This Row],[TOT_EFF_COST (€)]]-Table2[[#This Row],[TOT_STD_COST (€)]]</f>
        <v>-7585.7700000000041</v>
      </c>
      <c r="O43" s="28">
        <f>Table2[[#This Row],[QTA_SCARTO]]/Table2[[#This Row],[QTA_LOTTO]]</f>
        <v>4.2000000000000003E-2</v>
      </c>
      <c r="P43" s="19"/>
      <c r="Q43" s="19"/>
    </row>
    <row r="44" spans="1:17" x14ac:dyDescent="0.3">
      <c r="A44" s="17" t="s">
        <v>128</v>
      </c>
      <c r="B44" s="21">
        <v>46238</v>
      </c>
      <c r="C44" s="17" t="s">
        <v>38</v>
      </c>
      <c r="D44" s="17" t="s">
        <v>29</v>
      </c>
      <c r="E44" s="17" t="s">
        <v>30</v>
      </c>
      <c r="F44" s="18">
        <v>500</v>
      </c>
      <c r="G44" s="18">
        <v>492</v>
      </c>
      <c r="H44" s="18">
        <v>8</v>
      </c>
      <c r="I44" s="19">
        <v>65</v>
      </c>
      <c r="J44" s="19">
        <v>62.25</v>
      </c>
      <c r="K44" s="17" t="s">
        <v>16</v>
      </c>
      <c r="L44" s="19">
        <f>Table2[[#This Row],[QTA_LOTTO]]*Table2[[#This Row],[COSTO_STD_UNITARIO]]</f>
        <v>32500</v>
      </c>
      <c r="M44" s="19">
        <f>Table2[[#This Row],[QTA_PRODOTTA_EFF]]*Table2[[#This Row],[COSTO_EFF_UNITARIO]]</f>
        <v>30627</v>
      </c>
      <c r="N44" s="19">
        <f>Table2[[#This Row],[TOT_EFF_COST (€)]]-Table2[[#This Row],[TOT_STD_COST (€)]]</f>
        <v>-1873</v>
      </c>
      <c r="O44" s="28">
        <f>Table2[[#This Row],[QTA_SCARTO]]/Table2[[#This Row],[QTA_LOTTO]]</f>
        <v>1.6E-2</v>
      </c>
      <c r="P44" s="19"/>
      <c r="Q44" s="19"/>
    </row>
    <row r="45" spans="1:17" x14ac:dyDescent="0.3">
      <c r="A45" s="17" t="s">
        <v>130</v>
      </c>
      <c r="B45" s="21">
        <v>46247</v>
      </c>
      <c r="C45" s="17" t="s">
        <v>28</v>
      </c>
      <c r="D45" s="17" t="s">
        <v>14</v>
      </c>
      <c r="E45" s="17" t="s">
        <v>15</v>
      </c>
      <c r="F45" s="18">
        <v>100</v>
      </c>
      <c r="G45" s="18">
        <v>86</v>
      </c>
      <c r="H45" s="18">
        <v>14</v>
      </c>
      <c r="I45" s="19">
        <v>45</v>
      </c>
      <c r="J45" s="19">
        <v>41.25</v>
      </c>
      <c r="K45" s="17" t="s">
        <v>25</v>
      </c>
      <c r="L45" s="19">
        <f>Table2[[#This Row],[QTA_LOTTO]]*Table2[[#This Row],[COSTO_STD_UNITARIO]]</f>
        <v>4500</v>
      </c>
      <c r="M45" s="19">
        <f>Table2[[#This Row],[QTA_PRODOTTA_EFF]]*Table2[[#This Row],[COSTO_EFF_UNITARIO]]</f>
        <v>3547.5</v>
      </c>
      <c r="N45" s="19">
        <f>Table2[[#This Row],[TOT_EFF_COST (€)]]-Table2[[#This Row],[TOT_STD_COST (€)]]</f>
        <v>-952.5</v>
      </c>
      <c r="O45" s="28">
        <f>Table2[[#This Row],[QTA_SCARTO]]/Table2[[#This Row],[QTA_LOTTO]]</f>
        <v>0.14000000000000001</v>
      </c>
      <c r="P45" s="19"/>
      <c r="Q45" s="19"/>
    </row>
    <row r="46" spans="1:17" x14ac:dyDescent="0.3">
      <c r="A46" s="17" t="s">
        <v>132</v>
      </c>
      <c r="B46" s="21">
        <v>46251</v>
      </c>
      <c r="C46" s="17" t="s">
        <v>38</v>
      </c>
      <c r="D46" s="17" t="s">
        <v>34</v>
      </c>
      <c r="E46" s="17" t="s">
        <v>35</v>
      </c>
      <c r="F46" s="18">
        <v>100</v>
      </c>
      <c r="G46" s="18">
        <v>77</v>
      </c>
      <c r="H46" s="18">
        <v>23</v>
      </c>
      <c r="I46" s="19">
        <v>210</v>
      </c>
      <c r="J46" s="19">
        <v>203.77</v>
      </c>
      <c r="K46" s="17" t="s">
        <v>55</v>
      </c>
      <c r="L46" s="19">
        <f>Table2[[#This Row],[QTA_LOTTO]]*Table2[[#This Row],[COSTO_STD_UNITARIO]]</f>
        <v>21000</v>
      </c>
      <c r="M46" s="19">
        <f>Table2[[#This Row],[QTA_PRODOTTA_EFF]]*Table2[[#This Row],[COSTO_EFF_UNITARIO]]</f>
        <v>15690.29</v>
      </c>
      <c r="N46" s="19">
        <f>Table2[[#This Row],[TOT_EFF_COST (€)]]-Table2[[#This Row],[TOT_STD_COST (€)]]</f>
        <v>-5309.7099999999991</v>
      </c>
      <c r="O46" s="28">
        <f>Table2[[#This Row],[QTA_SCARTO]]/Table2[[#This Row],[QTA_LOTTO]]</f>
        <v>0.23</v>
      </c>
      <c r="P46" s="19"/>
      <c r="Q46" s="19"/>
    </row>
    <row r="47" spans="1:17" x14ac:dyDescent="0.3">
      <c r="A47" s="17" t="s">
        <v>134</v>
      </c>
      <c r="B47" s="21">
        <v>46282</v>
      </c>
      <c r="C47" s="17" t="s">
        <v>38</v>
      </c>
      <c r="D47" s="17" t="s">
        <v>89</v>
      </c>
      <c r="E47" s="17" t="s">
        <v>90</v>
      </c>
      <c r="F47" s="18">
        <v>150</v>
      </c>
      <c r="G47" s="18">
        <v>129</v>
      </c>
      <c r="H47" s="18">
        <v>21</v>
      </c>
      <c r="I47" s="19">
        <v>85</v>
      </c>
      <c r="J47" s="19">
        <v>92.05</v>
      </c>
      <c r="K47" s="17" t="s">
        <v>25</v>
      </c>
      <c r="L47" s="19">
        <f>Table2[[#This Row],[QTA_LOTTO]]*Table2[[#This Row],[COSTO_STD_UNITARIO]]</f>
        <v>12750</v>
      </c>
      <c r="M47" s="19">
        <f>Table2[[#This Row],[QTA_PRODOTTA_EFF]]*Table2[[#This Row],[COSTO_EFF_UNITARIO]]</f>
        <v>11874.449999999999</v>
      </c>
      <c r="N47" s="19">
        <f>Table2[[#This Row],[TOT_EFF_COST (€)]]-Table2[[#This Row],[TOT_STD_COST (€)]]</f>
        <v>-875.55000000000109</v>
      </c>
      <c r="O47" s="28">
        <f>Table2[[#This Row],[QTA_SCARTO]]/Table2[[#This Row],[QTA_LOTTO]]</f>
        <v>0.14000000000000001</v>
      </c>
      <c r="P47" s="19"/>
      <c r="Q47" s="19"/>
    </row>
    <row r="48" spans="1:17" x14ac:dyDescent="0.3">
      <c r="A48" s="17" t="s">
        <v>136</v>
      </c>
      <c r="B48" s="21">
        <v>46280</v>
      </c>
      <c r="C48" s="17" t="s">
        <v>13</v>
      </c>
      <c r="D48" s="17" t="s">
        <v>34</v>
      </c>
      <c r="E48" s="17" t="s">
        <v>35</v>
      </c>
      <c r="F48" s="18">
        <v>300</v>
      </c>
      <c r="G48" s="18">
        <v>276</v>
      </c>
      <c r="H48" s="18">
        <v>24</v>
      </c>
      <c r="I48" s="19">
        <v>210</v>
      </c>
      <c r="J48" s="19">
        <v>208.08</v>
      </c>
      <c r="K48" s="17" t="s">
        <v>55</v>
      </c>
      <c r="L48" s="19">
        <f>Table2[[#This Row],[QTA_LOTTO]]*Table2[[#This Row],[COSTO_STD_UNITARIO]]</f>
        <v>63000</v>
      </c>
      <c r="M48" s="19">
        <f>Table2[[#This Row],[QTA_PRODOTTA_EFF]]*Table2[[#This Row],[COSTO_EFF_UNITARIO]]</f>
        <v>57430.080000000002</v>
      </c>
      <c r="N48" s="19">
        <f>Table2[[#This Row],[TOT_EFF_COST (€)]]-Table2[[#This Row],[TOT_STD_COST (€)]]</f>
        <v>-5569.9199999999983</v>
      </c>
      <c r="O48" s="28">
        <f>Table2[[#This Row],[QTA_SCARTO]]/Table2[[#This Row],[QTA_LOTTO]]</f>
        <v>0.08</v>
      </c>
      <c r="P48" s="19"/>
      <c r="Q48" s="19"/>
    </row>
    <row r="49" spans="1:17" x14ac:dyDescent="0.3">
      <c r="A49" s="17" t="s">
        <v>138</v>
      </c>
      <c r="B49" s="21">
        <v>46260</v>
      </c>
      <c r="C49" s="17" t="s">
        <v>28</v>
      </c>
      <c r="D49" s="17" t="s">
        <v>14</v>
      </c>
      <c r="E49" s="17" t="s">
        <v>15</v>
      </c>
      <c r="F49" s="18">
        <v>1000</v>
      </c>
      <c r="G49" s="18">
        <v>994</v>
      </c>
      <c r="H49" s="18">
        <v>6</v>
      </c>
      <c r="I49" s="19">
        <v>45</v>
      </c>
      <c r="J49" s="19">
        <v>44.24</v>
      </c>
      <c r="K49" s="17" t="s">
        <v>39</v>
      </c>
      <c r="L49" s="19">
        <f>Table2[[#This Row],[QTA_LOTTO]]*Table2[[#This Row],[COSTO_STD_UNITARIO]]</f>
        <v>45000</v>
      </c>
      <c r="M49" s="19">
        <f>Table2[[#This Row],[QTA_PRODOTTA_EFF]]*Table2[[#This Row],[COSTO_EFF_UNITARIO]]</f>
        <v>43974.560000000005</v>
      </c>
      <c r="N49" s="19">
        <f>Table2[[#This Row],[TOT_EFF_COST (€)]]-Table2[[#This Row],[TOT_STD_COST (€)]]</f>
        <v>-1025.4399999999951</v>
      </c>
      <c r="O49" s="28">
        <f>Table2[[#This Row],[QTA_SCARTO]]/Table2[[#This Row],[QTA_LOTTO]]</f>
        <v>6.0000000000000001E-3</v>
      </c>
      <c r="P49" s="19"/>
      <c r="Q49" s="19"/>
    </row>
    <row r="50" spans="1:17" x14ac:dyDescent="0.3">
      <c r="A50" s="17" t="s">
        <v>140</v>
      </c>
      <c r="B50" s="21">
        <v>46236</v>
      </c>
      <c r="C50" s="17" t="s">
        <v>28</v>
      </c>
      <c r="D50" s="17" t="s">
        <v>20</v>
      </c>
      <c r="E50" s="17" t="s">
        <v>21</v>
      </c>
      <c r="F50" s="18">
        <v>300</v>
      </c>
      <c r="G50" s="18">
        <v>289</v>
      </c>
      <c r="H50" s="18">
        <v>11</v>
      </c>
      <c r="I50" s="19">
        <v>120</v>
      </c>
      <c r="J50" s="19">
        <v>115.76</v>
      </c>
      <c r="K50" s="17" t="s">
        <v>39</v>
      </c>
      <c r="L50" s="19">
        <f>Table2[[#This Row],[QTA_LOTTO]]*Table2[[#This Row],[COSTO_STD_UNITARIO]]</f>
        <v>36000</v>
      </c>
      <c r="M50" s="19">
        <f>Table2[[#This Row],[QTA_PRODOTTA_EFF]]*Table2[[#This Row],[COSTO_EFF_UNITARIO]]</f>
        <v>33454.639999999999</v>
      </c>
      <c r="N50" s="19">
        <f>Table2[[#This Row],[TOT_EFF_COST (€)]]-Table2[[#This Row],[TOT_STD_COST (€)]]</f>
        <v>-2545.3600000000006</v>
      </c>
      <c r="O50" s="28">
        <f>Table2[[#This Row],[QTA_SCARTO]]/Table2[[#This Row],[QTA_LOTTO]]</f>
        <v>3.6666666666666667E-2</v>
      </c>
      <c r="P50" s="19"/>
      <c r="Q50" s="19"/>
    </row>
    <row r="51" spans="1:17" x14ac:dyDescent="0.3">
      <c r="A51" s="17" t="s">
        <v>142</v>
      </c>
      <c r="B51" s="21">
        <v>46250</v>
      </c>
      <c r="C51" s="17" t="s">
        <v>13</v>
      </c>
      <c r="D51" s="17" t="s">
        <v>14</v>
      </c>
      <c r="E51" s="17" t="s">
        <v>15</v>
      </c>
      <c r="F51" s="18">
        <v>500</v>
      </c>
      <c r="G51" s="18">
        <v>484</v>
      </c>
      <c r="H51" s="18">
        <v>16</v>
      </c>
      <c r="I51" s="19">
        <v>45</v>
      </c>
      <c r="J51" s="19">
        <v>45.02</v>
      </c>
      <c r="K51" s="17" t="s">
        <v>55</v>
      </c>
      <c r="L51" s="19">
        <f>Table2[[#This Row],[QTA_LOTTO]]*Table2[[#This Row],[COSTO_STD_UNITARIO]]</f>
        <v>22500</v>
      </c>
      <c r="M51" s="19">
        <f>Table2[[#This Row],[QTA_PRODOTTA_EFF]]*Table2[[#This Row],[COSTO_EFF_UNITARIO]]</f>
        <v>21789.68</v>
      </c>
      <c r="N51" s="19">
        <f>Table2[[#This Row],[TOT_EFF_COST (€)]]-Table2[[#This Row],[TOT_STD_COST (€)]]</f>
        <v>-710.31999999999971</v>
      </c>
      <c r="O51" s="28">
        <f>Table2[[#This Row],[QTA_SCARTO]]/Table2[[#This Row],[QTA_LOTTO]]</f>
        <v>3.2000000000000001E-2</v>
      </c>
      <c r="P51" s="19"/>
      <c r="Q51" s="19"/>
    </row>
    <row r="52" spans="1:17" x14ac:dyDescent="0.3">
      <c r="A52" s="17" t="s">
        <v>144</v>
      </c>
      <c r="B52" s="21">
        <v>46287</v>
      </c>
      <c r="C52" s="17" t="s">
        <v>28</v>
      </c>
      <c r="D52" s="17" t="s">
        <v>14</v>
      </c>
      <c r="E52" s="17" t="s">
        <v>15</v>
      </c>
      <c r="F52" s="18">
        <v>250</v>
      </c>
      <c r="G52" s="18">
        <v>227</v>
      </c>
      <c r="H52" s="18">
        <v>23</v>
      </c>
      <c r="I52" s="19">
        <v>45</v>
      </c>
      <c r="J52" s="19">
        <v>43.18</v>
      </c>
      <c r="K52" s="17" t="s">
        <v>16</v>
      </c>
      <c r="L52" s="19">
        <f>Table2[[#This Row],[QTA_LOTTO]]*Table2[[#This Row],[COSTO_STD_UNITARIO]]</f>
        <v>11250</v>
      </c>
      <c r="M52" s="19">
        <f>Table2[[#This Row],[QTA_PRODOTTA_EFF]]*Table2[[#This Row],[COSTO_EFF_UNITARIO]]</f>
        <v>9801.86</v>
      </c>
      <c r="N52" s="19">
        <f>Table2[[#This Row],[TOT_EFF_COST (€)]]-Table2[[#This Row],[TOT_STD_COST (€)]]</f>
        <v>-1448.1399999999994</v>
      </c>
      <c r="O52" s="28">
        <f>Table2[[#This Row],[QTA_SCARTO]]/Table2[[#This Row],[QTA_LOTTO]]</f>
        <v>9.1999999999999998E-2</v>
      </c>
      <c r="P52" s="19"/>
      <c r="Q52" s="19"/>
    </row>
    <row r="53" spans="1:17" x14ac:dyDescent="0.3">
      <c r="A53" s="17" t="s">
        <v>146</v>
      </c>
      <c r="B53" s="21">
        <v>46333</v>
      </c>
      <c r="C53" s="17" t="s">
        <v>13</v>
      </c>
      <c r="D53" s="17" t="s">
        <v>89</v>
      </c>
      <c r="E53" s="17" t="s">
        <v>90</v>
      </c>
      <c r="F53" s="18">
        <v>200</v>
      </c>
      <c r="G53" s="18">
        <v>194</v>
      </c>
      <c r="H53" s="18">
        <v>6</v>
      </c>
      <c r="I53" s="19">
        <v>85</v>
      </c>
      <c r="J53" s="19">
        <v>91.43</v>
      </c>
      <c r="K53" s="17" t="s">
        <v>16</v>
      </c>
      <c r="L53" s="19">
        <f>Table2[[#This Row],[QTA_LOTTO]]*Table2[[#This Row],[COSTO_STD_UNITARIO]]</f>
        <v>17000</v>
      </c>
      <c r="M53" s="19">
        <f>Table2[[#This Row],[QTA_PRODOTTA_EFF]]*Table2[[#This Row],[COSTO_EFF_UNITARIO]]</f>
        <v>17737.420000000002</v>
      </c>
      <c r="N53" s="19">
        <f>Table2[[#This Row],[TOT_EFF_COST (€)]]-Table2[[#This Row],[TOT_STD_COST (€)]]</f>
        <v>737.42000000000189</v>
      </c>
      <c r="O53" s="28">
        <f>Table2[[#This Row],[QTA_SCARTO]]/Table2[[#This Row],[QTA_LOTTO]]</f>
        <v>0.03</v>
      </c>
      <c r="P53" s="19"/>
      <c r="Q53" s="19"/>
    </row>
    <row r="54" spans="1:17" x14ac:dyDescent="0.3">
      <c r="A54" s="17" t="s">
        <v>148</v>
      </c>
      <c r="B54" s="21">
        <v>46285</v>
      </c>
      <c r="C54" s="17" t="s">
        <v>38</v>
      </c>
      <c r="D54" s="17" t="s">
        <v>116</v>
      </c>
      <c r="E54" s="17" t="s">
        <v>117</v>
      </c>
      <c r="F54" s="18">
        <v>1000</v>
      </c>
      <c r="G54" s="18">
        <v>984</v>
      </c>
      <c r="H54" s="18">
        <v>16</v>
      </c>
      <c r="I54" s="19">
        <v>28</v>
      </c>
      <c r="J54" s="19">
        <v>29.52</v>
      </c>
      <c r="K54" s="17" t="s">
        <v>25</v>
      </c>
      <c r="L54" s="19">
        <f>Table2[[#This Row],[QTA_LOTTO]]*Table2[[#This Row],[COSTO_STD_UNITARIO]]</f>
        <v>28000</v>
      </c>
      <c r="M54" s="19">
        <f>Table2[[#This Row],[QTA_PRODOTTA_EFF]]*Table2[[#This Row],[COSTO_EFF_UNITARIO]]</f>
        <v>29047.68</v>
      </c>
      <c r="N54" s="19">
        <f>Table2[[#This Row],[TOT_EFF_COST (€)]]-Table2[[#This Row],[TOT_STD_COST (€)]]</f>
        <v>1047.6800000000003</v>
      </c>
      <c r="O54" s="28">
        <f>Table2[[#This Row],[QTA_SCARTO]]/Table2[[#This Row],[QTA_LOTTO]]</f>
        <v>1.6E-2</v>
      </c>
      <c r="P54" s="19"/>
      <c r="Q54" s="19"/>
    </row>
    <row r="55" spans="1:17" x14ac:dyDescent="0.3">
      <c r="A55" s="17" t="s">
        <v>150</v>
      </c>
      <c r="B55" s="21">
        <v>46205</v>
      </c>
      <c r="C55" s="17" t="s">
        <v>28</v>
      </c>
      <c r="D55" s="17" t="s">
        <v>89</v>
      </c>
      <c r="E55" s="17" t="s">
        <v>90</v>
      </c>
      <c r="F55" s="18">
        <v>100</v>
      </c>
      <c r="G55" s="18">
        <v>77</v>
      </c>
      <c r="H55" s="18">
        <v>23</v>
      </c>
      <c r="I55" s="19">
        <v>85</v>
      </c>
      <c r="J55" s="19">
        <v>89.49</v>
      </c>
      <c r="K55" s="17" t="s">
        <v>16</v>
      </c>
      <c r="L55" s="19">
        <f>Table2[[#This Row],[QTA_LOTTO]]*Table2[[#This Row],[COSTO_STD_UNITARIO]]</f>
        <v>8500</v>
      </c>
      <c r="M55" s="19">
        <f>Table2[[#This Row],[QTA_PRODOTTA_EFF]]*Table2[[#This Row],[COSTO_EFF_UNITARIO]]</f>
        <v>6890.73</v>
      </c>
      <c r="N55" s="19">
        <f>Table2[[#This Row],[TOT_EFF_COST (€)]]-Table2[[#This Row],[TOT_STD_COST (€)]]</f>
        <v>-1609.2700000000004</v>
      </c>
      <c r="O55" s="28">
        <f>Table2[[#This Row],[QTA_SCARTO]]/Table2[[#This Row],[QTA_LOTTO]]</f>
        <v>0.23</v>
      </c>
      <c r="P55" s="19"/>
      <c r="Q55" s="19"/>
    </row>
    <row r="56" spans="1:17" x14ac:dyDescent="0.3">
      <c r="A56" s="17" t="s">
        <v>152</v>
      </c>
      <c r="B56" s="21">
        <v>46299</v>
      </c>
      <c r="C56" s="17" t="s">
        <v>13</v>
      </c>
      <c r="D56" s="17" t="s">
        <v>20</v>
      </c>
      <c r="E56" s="17" t="s">
        <v>21</v>
      </c>
      <c r="F56" s="18">
        <v>500</v>
      </c>
      <c r="G56" s="18">
        <f>CLEAN_Dump_Produzione!$F56-CLEAN_Dump_Produzione!$H56</f>
        <v>495</v>
      </c>
      <c r="H56" s="18">
        <v>5</v>
      </c>
      <c r="I56" s="19">
        <v>120</v>
      </c>
      <c r="J56" s="19">
        <v>114.01</v>
      </c>
      <c r="K56" s="17" t="s">
        <v>22</v>
      </c>
      <c r="L56" s="19">
        <f>Table2[[#This Row],[QTA_LOTTO]]*Table2[[#This Row],[COSTO_STD_UNITARIO]]</f>
        <v>60000</v>
      </c>
      <c r="M56" s="19">
        <f>Table2[[#This Row],[QTA_PRODOTTA_EFF]]*Table2[[#This Row],[COSTO_EFF_UNITARIO]]</f>
        <v>56434.950000000004</v>
      </c>
      <c r="N56" s="19">
        <f>Table2[[#This Row],[TOT_EFF_COST (€)]]-Table2[[#This Row],[TOT_STD_COST (€)]]</f>
        <v>-3565.0499999999956</v>
      </c>
      <c r="O56" s="28">
        <f>Table2[[#This Row],[QTA_SCARTO]]/Table2[[#This Row],[QTA_LOTTO]]</f>
        <v>0.01</v>
      </c>
      <c r="P56" s="19"/>
      <c r="Q56" s="19"/>
    </row>
    <row r="57" spans="1:17" x14ac:dyDescent="0.3">
      <c r="A57" s="17" t="s">
        <v>153</v>
      </c>
      <c r="B57" s="21">
        <v>46243</v>
      </c>
      <c r="C57" s="17" t="s">
        <v>13</v>
      </c>
      <c r="D57" s="17" t="s">
        <v>20</v>
      </c>
      <c r="E57" s="17" t="s">
        <v>21</v>
      </c>
      <c r="F57" s="18">
        <v>300</v>
      </c>
      <c r="G57" s="18">
        <v>279</v>
      </c>
      <c r="H57" s="18">
        <v>21</v>
      </c>
      <c r="I57" s="19">
        <v>120</v>
      </c>
      <c r="J57" s="19">
        <v>116.94</v>
      </c>
      <c r="K57" s="17" t="s">
        <v>39</v>
      </c>
      <c r="L57" s="19">
        <f>Table2[[#This Row],[QTA_LOTTO]]*Table2[[#This Row],[COSTO_STD_UNITARIO]]</f>
        <v>36000</v>
      </c>
      <c r="M57" s="19">
        <f>Table2[[#This Row],[QTA_PRODOTTA_EFF]]*Table2[[#This Row],[COSTO_EFF_UNITARIO]]</f>
        <v>32626.26</v>
      </c>
      <c r="N57" s="19">
        <f>Table2[[#This Row],[TOT_EFF_COST (€)]]-Table2[[#This Row],[TOT_STD_COST (€)]]</f>
        <v>-3373.7400000000016</v>
      </c>
      <c r="O57" s="28">
        <f>Table2[[#This Row],[QTA_SCARTO]]/Table2[[#This Row],[QTA_LOTTO]]</f>
        <v>7.0000000000000007E-2</v>
      </c>
      <c r="P57" s="19"/>
      <c r="Q57" s="19"/>
    </row>
    <row r="58" spans="1:17" x14ac:dyDescent="0.3">
      <c r="A58" s="17" t="s">
        <v>155</v>
      </c>
      <c r="B58" s="21">
        <v>46259</v>
      </c>
      <c r="C58" s="17" t="s">
        <v>28</v>
      </c>
      <c r="D58" s="17" t="s">
        <v>58</v>
      </c>
      <c r="E58" s="17" t="s">
        <v>59</v>
      </c>
      <c r="F58" s="18">
        <v>250</v>
      </c>
      <c r="G58" s="18">
        <v>240</v>
      </c>
      <c r="H58" s="18">
        <v>10</v>
      </c>
      <c r="I58" s="19">
        <v>340</v>
      </c>
      <c r="J58" s="19">
        <v>356.58</v>
      </c>
      <c r="K58" s="17" t="s">
        <v>39</v>
      </c>
      <c r="L58" s="19">
        <f>Table2[[#This Row],[QTA_LOTTO]]*Table2[[#This Row],[COSTO_STD_UNITARIO]]</f>
        <v>85000</v>
      </c>
      <c r="M58" s="19">
        <f>Table2[[#This Row],[QTA_PRODOTTA_EFF]]*Table2[[#This Row],[COSTO_EFF_UNITARIO]]</f>
        <v>85579.199999999997</v>
      </c>
      <c r="N58" s="19">
        <f>Table2[[#This Row],[TOT_EFF_COST (€)]]-Table2[[#This Row],[TOT_STD_COST (€)]]</f>
        <v>579.19999999999709</v>
      </c>
      <c r="O58" s="28">
        <f>Table2[[#This Row],[QTA_SCARTO]]/Table2[[#This Row],[QTA_LOTTO]]</f>
        <v>0.04</v>
      </c>
      <c r="P58" s="19"/>
      <c r="Q58" s="19"/>
    </row>
    <row r="59" spans="1:17" x14ac:dyDescent="0.3">
      <c r="A59" s="17" t="s">
        <v>157</v>
      </c>
      <c r="B59" s="21">
        <v>46254</v>
      </c>
      <c r="C59" s="17" t="s">
        <v>28</v>
      </c>
      <c r="D59" s="17" t="s">
        <v>14</v>
      </c>
      <c r="E59" s="17" t="s">
        <v>15</v>
      </c>
      <c r="F59" s="18">
        <v>250</v>
      </c>
      <c r="G59" s="18">
        <v>230</v>
      </c>
      <c r="H59" s="18">
        <v>20</v>
      </c>
      <c r="I59" s="19">
        <v>45</v>
      </c>
      <c r="J59" s="19">
        <v>43.26</v>
      </c>
      <c r="K59" s="17" t="s">
        <v>16</v>
      </c>
      <c r="L59" s="19">
        <f>Table2[[#This Row],[QTA_LOTTO]]*Table2[[#This Row],[COSTO_STD_UNITARIO]]</f>
        <v>11250</v>
      </c>
      <c r="M59" s="19">
        <f>Table2[[#This Row],[QTA_PRODOTTA_EFF]]*Table2[[#This Row],[COSTO_EFF_UNITARIO]]</f>
        <v>9949.7999999999993</v>
      </c>
      <c r="N59" s="19">
        <f>Table2[[#This Row],[TOT_EFF_COST (€)]]-Table2[[#This Row],[TOT_STD_COST (€)]]</f>
        <v>-1300.2000000000007</v>
      </c>
      <c r="O59" s="28">
        <f>Table2[[#This Row],[QTA_SCARTO]]/Table2[[#This Row],[QTA_LOTTO]]</f>
        <v>0.08</v>
      </c>
      <c r="P59" s="19"/>
      <c r="Q59" s="19"/>
    </row>
    <row r="60" spans="1:17" x14ac:dyDescent="0.3">
      <c r="A60" s="17" t="s">
        <v>95</v>
      </c>
      <c r="B60" s="21">
        <v>46219</v>
      </c>
      <c r="C60" s="17" t="s">
        <v>28</v>
      </c>
      <c r="D60" s="17" t="s">
        <v>46</v>
      </c>
      <c r="E60" s="17" t="s">
        <v>47</v>
      </c>
      <c r="F60" s="18">
        <v>300</v>
      </c>
      <c r="G60" s="18">
        <v>285</v>
      </c>
      <c r="H60" s="18">
        <v>15</v>
      </c>
      <c r="I60" s="19">
        <v>35</v>
      </c>
      <c r="J60" s="19">
        <v>39.82</v>
      </c>
      <c r="K60" s="17" t="s">
        <v>16</v>
      </c>
      <c r="L60" s="19">
        <f>Table2[[#This Row],[QTA_LOTTO]]*Table2[[#This Row],[COSTO_STD_UNITARIO]]</f>
        <v>10500</v>
      </c>
      <c r="M60" s="19">
        <f>Table2[[#This Row],[QTA_PRODOTTA_EFF]]*Table2[[#This Row],[COSTO_EFF_UNITARIO]]</f>
        <v>11348.7</v>
      </c>
      <c r="N60" s="19">
        <f>Table2[[#This Row],[TOT_EFF_COST (€)]]-Table2[[#This Row],[TOT_STD_COST (€)]]</f>
        <v>848.70000000000073</v>
      </c>
      <c r="O60" s="28">
        <f>Table2[[#This Row],[QTA_SCARTO]]/Table2[[#This Row],[QTA_LOTTO]]</f>
        <v>0.05</v>
      </c>
      <c r="P60" s="19"/>
      <c r="Q60" s="19"/>
    </row>
    <row r="61" spans="1:17" x14ac:dyDescent="0.3">
      <c r="A61" s="17" t="s">
        <v>159</v>
      </c>
      <c r="B61" s="21">
        <v>46355</v>
      </c>
      <c r="C61" s="17" t="s">
        <v>28</v>
      </c>
      <c r="D61" s="17" t="s">
        <v>116</v>
      </c>
      <c r="E61" s="17" t="s">
        <v>117</v>
      </c>
      <c r="F61" s="18">
        <v>150</v>
      </c>
      <c r="G61" s="18">
        <v>145</v>
      </c>
      <c r="H61" s="18">
        <v>5</v>
      </c>
      <c r="I61" s="19">
        <v>28</v>
      </c>
      <c r="J61" s="19">
        <v>28.76</v>
      </c>
      <c r="K61" s="17" t="s">
        <v>39</v>
      </c>
      <c r="L61" s="19">
        <f>Table2[[#This Row],[QTA_LOTTO]]*Table2[[#This Row],[COSTO_STD_UNITARIO]]</f>
        <v>4200</v>
      </c>
      <c r="M61" s="19">
        <f>Table2[[#This Row],[QTA_PRODOTTA_EFF]]*Table2[[#This Row],[COSTO_EFF_UNITARIO]]</f>
        <v>4170.2</v>
      </c>
      <c r="N61" s="19">
        <f>Table2[[#This Row],[TOT_EFF_COST (€)]]-Table2[[#This Row],[TOT_STD_COST (€)]]</f>
        <v>-29.800000000000182</v>
      </c>
      <c r="O61" s="28">
        <f>Table2[[#This Row],[QTA_SCARTO]]/Table2[[#This Row],[QTA_LOTTO]]</f>
        <v>3.3333333333333333E-2</v>
      </c>
      <c r="P61" s="19"/>
      <c r="Q61" s="19"/>
    </row>
    <row r="62" spans="1:17" x14ac:dyDescent="0.3">
      <c r="A62" s="17" t="s">
        <v>161</v>
      </c>
      <c r="B62" s="21">
        <v>46226</v>
      </c>
      <c r="C62" s="17" t="s">
        <v>28</v>
      </c>
      <c r="D62" s="17" t="s">
        <v>29</v>
      </c>
      <c r="E62" s="17" t="s">
        <v>30</v>
      </c>
      <c r="F62" s="18">
        <v>300</v>
      </c>
      <c r="G62" s="18">
        <v>276</v>
      </c>
      <c r="H62" s="18">
        <v>24</v>
      </c>
      <c r="I62" s="19">
        <v>65</v>
      </c>
      <c r="J62" s="19">
        <v>63.89</v>
      </c>
      <c r="K62" s="17" t="s">
        <v>16</v>
      </c>
      <c r="L62" s="19">
        <f>Table2[[#This Row],[QTA_LOTTO]]*Table2[[#This Row],[COSTO_STD_UNITARIO]]</f>
        <v>19500</v>
      </c>
      <c r="M62" s="19">
        <f>Table2[[#This Row],[QTA_PRODOTTA_EFF]]*Table2[[#This Row],[COSTO_EFF_UNITARIO]]</f>
        <v>17633.64</v>
      </c>
      <c r="N62" s="19">
        <f>Table2[[#This Row],[TOT_EFF_COST (€)]]-Table2[[#This Row],[TOT_STD_COST (€)]]</f>
        <v>-1866.3600000000006</v>
      </c>
      <c r="O62" s="28">
        <f>Table2[[#This Row],[QTA_SCARTO]]/Table2[[#This Row],[QTA_LOTTO]]</f>
        <v>0.08</v>
      </c>
      <c r="P62" s="19"/>
      <c r="Q62" s="19"/>
    </row>
    <row r="63" spans="1:17" x14ac:dyDescent="0.3">
      <c r="A63" s="17" t="s">
        <v>163</v>
      </c>
      <c r="B63" s="21">
        <v>46339</v>
      </c>
      <c r="C63" s="17" t="s">
        <v>38</v>
      </c>
      <c r="D63" s="17" t="s">
        <v>29</v>
      </c>
      <c r="E63" s="17" t="s">
        <v>30</v>
      </c>
      <c r="F63" s="18">
        <v>200</v>
      </c>
      <c r="G63" s="18">
        <v>190</v>
      </c>
      <c r="H63" s="18">
        <v>10</v>
      </c>
      <c r="I63" s="19">
        <v>65</v>
      </c>
      <c r="J63" s="19">
        <v>60.78</v>
      </c>
      <c r="K63" s="17" t="s">
        <v>39</v>
      </c>
      <c r="L63" s="19">
        <f>Table2[[#This Row],[QTA_LOTTO]]*Table2[[#This Row],[COSTO_STD_UNITARIO]]</f>
        <v>13000</v>
      </c>
      <c r="M63" s="19">
        <f>Table2[[#This Row],[QTA_PRODOTTA_EFF]]*Table2[[#This Row],[COSTO_EFF_UNITARIO]]</f>
        <v>11548.2</v>
      </c>
      <c r="N63" s="19">
        <f>Table2[[#This Row],[TOT_EFF_COST (€)]]-Table2[[#This Row],[TOT_STD_COST (€)]]</f>
        <v>-1451.7999999999993</v>
      </c>
      <c r="O63" s="28">
        <f>Table2[[#This Row],[QTA_SCARTO]]/Table2[[#This Row],[QTA_LOTTO]]</f>
        <v>0.05</v>
      </c>
      <c r="P63" s="19"/>
      <c r="Q63" s="19"/>
    </row>
    <row r="64" spans="1:17" x14ac:dyDescent="0.3">
      <c r="A64" s="17" t="s">
        <v>165</v>
      </c>
      <c r="B64" s="21">
        <v>46292</v>
      </c>
      <c r="C64" s="17" t="s">
        <v>38</v>
      </c>
      <c r="D64" s="17" t="s">
        <v>116</v>
      </c>
      <c r="E64" s="17" t="s">
        <v>117</v>
      </c>
      <c r="F64" s="18">
        <v>500</v>
      </c>
      <c r="G64" s="18">
        <v>488</v>
      </c>
      <c r="H64" s="18">
        <v>12</v>
      </c>
      <c r="I64" s="19">
        <v>28</v>
      </c>
      <c r="J64" s="19">
        <v>25.71</v>
      </c>
      <c r="K64" s="17" t="s">
        <v>39</v>
      </c>
      <c r="L64" s="19">
        <f>Table2[[#This Row],[QTA_LOTTO]]*Table2[[#This Row],[COSTO_STD_UNITARIO]]</f>
        <v>14000</v>
      </c>
      <c r="M64" s="19">
        <f>Table2[[#This Row],[QTA_PRODOTTA_EFF]]*Table2[[#This Row],[COSTO_EFF_UNITARIO]]</f>
        <v>12546.48</v>
      </c>
      <c r="N64" s="19">
        <f>Table2[[#This Row],[TOT_EFF_COST (€)]]-Table2[[#This Row],[TOT_STD_COST (€)]]</f>
        <v>-1453.5200000000004</v>
      </c>
      <c r="O64" s="28">
        <f>Table2[[#This Row],[QTA_SCARTO]]/Table2[[#This Row],[QTA_LOTTO]]</f>
        <v>2.4E-2</v>
      </c>
      <c r="P64" s="19"/>
      <c r="Q64" s="19"/>
    </row>
    <row r="65" spans="1:17" x14ac:dyDescent="0.3">
      <c r="A65" s="17" t="s">
        <v>167</v>
      </c>
      <c r="B65" s="21">
        <v>46303</v>
      </c>
      <c r="C65" s="17" t="s">
        <v>38</v>
      </c>
      <c r="D65" s="17" t="s">
        <v>20</v>
      </c>
      <c r="E65" s="17" t="s">
        <v>21</v>
      </c>
      <c r="F65" s="18">
        <v>1000</v>
      </c>
      <c r="G65" s="18">
        <v>982</v>
      </c>
      <c r="H65" s="18">
        <v>18</v>
      </c>
      <c r="I65" s="19">
        <v>120</v>
      </c>
      <c r="J65" s="19">
        <v>117.4</v>
      </c>
      <c r="K65" s="17" t="s">
        <v>25</v>
      </c>
      <c r="L65" s="19">
        <f>Table2[[#This Row],[QTA_LOTTO]]*Table2[[#This Row],[COSTO_STD_UNITARIO]]</f>
        <v>120000</v>
      </c>
      <c r="M65" s="19">
        <f>Table2[[#This Row],[QTA_PRODOTTA_EFF]]*Table2[[#This Row],[COSTO_EFF_UNITARIO]]</f>
        <v>115286.8</v>
      </c>
      <c r="N65" s="19">
        <f>Table2[[#This Row],[TOT_EFF_COST (€)]]-Table2[[#This Row],[TOT_STD_COST (€)]]</f>
        <v>-4713.1999999999971</v>
      </c>
      <c r="O65" s="28">
        <f>Table2[[#This Row],[QTA_SCARTO]]/Table2[[#This Row],[QTA_LOTTO]]</f>
        <v>1.7999999999999999E-2</v>
      </c>
      <c r="P65" s="19"/>
      <c r="Q65" s="19"/>
    </row>
    <row r="66" spans="1:17" x14ac:dyDescent="0.3">
      <c r="A66" s="17" t="s">
        <v>169</v>
      </c>
      <c r="B66" s="21">
        <v>46234</v>
      </c>
      <c r="C66" s="17" t="s">
        <v>28</v>
      </c>
      <c r="D66" s="17" t="s">
        <v>58</v>
      </c>
      <c r="E66" s="17" t="s">
        <v>59</v>
      </c>
      <c r="F66" s="18">
        <v>250</v>
      </c>
      <c r="G66" s="18">
        <v>226</v>
      </c>
      <c r="H66" s="18">
        <v>24</v>
      </c>
      <c r="I66" s="19">
        <v>340</v>
      </c>
      <c r="J66" s="19">
        <v>355.51</v>
      </c>
      <c r="K66" s="17" t="s">
        <v>55</v>
      </c>
      <c r="L66" s="19">
        <f>Table2[[#This Row],[QTA_LOTTO]]*Table2[[#This Row],[COSTO_STD_UNITARIO]]</f>
        <v>85000</v>
      </c>
      <c r="M66" s="19">
        <f>Table2[[#This Row],[QTA_PRODOTTA_EFF]]*Table2[[#This Row],[COSTO_EFF_UNITARIO]]</f>
        <v>80345.259999999995</v>
      </c>
      <c r="N66" s="19">
        <f>Table2[[#This Row],[TOT_EFF_COST (€)]]-Table2[[#This Row],[TOT_STD_COST (€)]]</f>
        <v>-4654.7400000000052</v>
      </c>
      <c r="O66" s="28">
        <f>Table2[[#This Row],[QTA_SCARTO]]/Table2[[#This Row],[QTA_LOTTO]]</f>
        <v>9.6000000000000002E-2</v>
      </c>
      <c r="P66" s="19"/>
      <c r="Q66" s="19"/>
    </row>
    <row r="67" spans="1:17" x14ac:dyDescent="0.3">
      <c r="A67" s="17" t="s">
        <v>171</v>
      </c>
      <c r="B67" s="21">
        <v>46309</v>
      </c>
      <c r="C67" s="17" t="s">
        <v>13</v>
      </c>
      <c r="D67" s="17" t="s">
        <v>46</v>
      </c>
      <c r="E67" s="17" t="s">
        <v>47</v>
      </c>
      <c r="F67" s="18">
        <v>150</v>
      </c>
      <c r="G67" s="18">
        <v>138</v>
      </c>
      <c r="H67" s="18">
        <v>12</v>
      </c>
      <c r="I67" s="19">
        <v>35</v>
      </c>
      <c r="J67" s="19">
        <v>37.619999999999997</v>
      </c>
      <c r="K67" s="17" t="s">
        <v>25</v>
      </c>
      <c r="L67" s="19">
        <f>Table2[[#This Row],[QTA_LOTTO]]*Table2[[#This Row],[COSTO_STD_UNITARIO]]</f>
        <v>5250</v>
      </c>
      <c r="M67" s="19">
        <f>Table2[[#This Row],[QTA_PRODOTTA_EFF]]*Table2[[#This Row],[COSTO_EFF_UNITARIO]]</f>
        <v>5191.5599999999995</v>
      </c>
      <c r="N67" s="19">
        <f>Table2[[#This Row],[TOT_EFF_COST (€)]]-Table2[[#This Row],[TOT_STD_COST (€)]]</f>
        <v>-58.440000000000509</v>
      </c>
      <c r="O67" s="28">
        <f>Table2[[#This Row],[QTA_SCARTO]]/Table2[[#This Row],[QTA_LOTTO]]</f>
        <v>0.08</v>
      </c>
      <c r="P67" s="19"/>
      <c r="Q67" s="19"/>
    </row>
    <row r="68" spans="1:17" x14ac:dyDescent="0.3">
      <c r="A68" s="17" t="s">
        <v>173</v>
      </c>
      <c r="B68" s="21">
        <v>46222</v>
      </c>
      <c r="C68" s="17" t="s">
        <v>38</v>
      </c>
      <c r="D68" s="17" t="s">
        <v>89</v>
      </c>
      <c r="E68" s="17" t="s">
        <v>90</v>
      </c>
      <c r="F68" s="18">
        <v>500</v>
      </c>
      <c r="G68" s="18">
        <v>480</v>
      </c>
      <c r="H68" s="18">
        <v>20</v>
      </c>
      <c r="I68" s="19">
        <v>85</v>
      </c>
      <c r="J68" s="19">
        <v>91.08</v>
      </c>
      <c r="K68" s="17" t="s">
        <v>39</v>
      </c>
      <c r="L68" s="19">
        <f>Table2[[#This Row],[QTA_LOTTO]]*Table2[[#This Row],[COSTO_STD_UNITARIO]]</f>
        <v>42500</v>
      </c>
      <c r="M68" s="19">
        <f>Table2[[#This Row],[QTA_PRODOTTA_EFF]]*Table2[[#This Row],[COSTO_EFF_UNITARIO]]</f>
        <v>43718.400000000001</v>
      </c>
      <c r="N68" s="19">
        <f>Table2[[#This Row],[TOT_EFF_COST (€)]]-Table2[[#This Row],[TOT_STD_COST (€)]]</f>
        <v>1218.4000000000015</v>
      </c>
      <c r="O68" s="28">
        <f>Table2[[#This Row],[QTA_SCARTO]]/Table2[[#This Row],[QTA_LOTTO]]</f>
        <v>0.04</v>
      </c>
      <c r="P68" s="19"/>
      <c r="Q68" s="19"/>
    </row>
    <row r="69" spans="1:17" x14ac:dyDescent="0.3">
      <c r="A69" s="17" t="s">
        <v>175</v>
      </c>
      <c r="B69" s="21">
        <v>46329</v>
      </c>
      <c r="C69" s="17" t="s">
        <v>38</v>
      </c>
      <c r="D69" s="17" t="s">
        <v>58</v>
      </c>
      <c r="E69" s="17" t="s">
        <v>59</v>
      </c>
      <c r="F69" s="18">
        <v>250</v>
      </c>
      <c r="G69" s="18">
        <v>234</v>
      </c>
      <c r="H69" s="18">
        <v>16</v>
      </c>
      <c r="I69" s="19">
        <v>340</v>
      </c>
      <c r="J69" s="19">
        <v>354.87</v>
      </c>
      <c r="K69" s="17" t="s">
        <v>16</v>
      </c>
      <c r="L69" s="19">
        <f>Table2[[#This Row],[QTA_LOTTO]]*Table2[[#This Row],[COSTO_STD_UNITARIO]]</f>
        <v>85000</v>
      </c>
      <c r="M69" s="19">
        <f>Table2[[#This Row],[QTA_PRODOTTA_EFF]]*Table2[[#This Row],[COSTO_EFF_UNITARIO]]</f>
        <v>83039.58</v>
      </c>
      <c r="N69" s="19">
        <f>Table2[[#This Row],[TOT_EFF_COST (€)]]-Table2[[#This Row],[TOT_STD_COST (€)]]</f>
        <v>-1960.4199999999983</v>
      </c>
      <c r="O69" s="28">
        <f>Table2[[#This Row],[QTA_SCARTO]]/Table2[[#This Row],[QTA_LOTTO]]</f>
        <v>6.4000000000000001E-2</v>
      </c>
      <c r="P69" s="19"/>
      <c r="Q69" s="19"/>
    </row>
    <row r="70" spans="1:17" x14ac:dyDescent="0.3">
      <c r="A70" s="17" t="s">
        <v>177</v>
      </c>
      <c r="B70" s="21">
        <v>46270</v>
      </c>
      <c r="C70" s="17" t="s">
        <v>38</v>
      </c>
      <c r="D70" s="17" t="s">
        <v>20</v>
      </c>
      <c r="E70" s="17" t="s">
        <v>21</v>
      </c>
      <c r="F70" s="18">
        <v>500</v>
      </c>
      <c r="G70" s="18">
        <v>493</v>
      </c>
      <c r="H70" s="18">
        <v>7</v>
      </c>
      <c r="I70" s="19">
        <v>120</v>
      </c>
      <c r="J70" s="19">
        <v>114.83</v>
      </c>
      <c r="K70" s="17" t="s">
        <v>22</v>
      </c>
      <c r="L70" s="19">
        <f>Table2[[#This Row],[QTA_LOTTO]]*Table2[[#This Row],[COSTO_STD_UNITARIO]]</f>
        <v>60000</v>
      </c>
      <c r="M70" s="19">
        <f>Table2[[#This Row],[QTA_PRODOTTA_EFF]]*Table2[[#This Row],[COSTO_EFF_UNITARIO]]</f>
        <v>56611.19</v>
      </c>
      <c r="N70" s="19">
        <f>Table2[[#This Row],[TOT_EFF_COST (€)]]-Table2[[#This Row],[TOT_STD_COST (€)]]</f>
        <v>-3388.8099999999977</v>
      </c>
      <c r="O70" s="28">
        <f>Table2[[#This Row],[QTA_SCARTO]]/Table2[[#This Row],[QTA_LOTTO]]</f>
        <v>1.4E-2</v>
      </c>
      <c r="P70" s="19"/>
      <c r="Q70" s="19"/>
    </row>
    <row r="71" spans="1:17" x14ac:dyDescent="0.3">
      <c r="A71" s="17" t="s">
        <v>179</v>
      </c>
      <c r="B71" s="21">
        <v>46351</v>
      </c>
      <c r="C71" s="17" t="s">
        <v>13</v>
      </c>
      <c r="D71" s="17" t="s">
        <v>89</v>
      </c>
      <c r="E71" s="17" t="s">
        <v>90</v>
      </c>
      <c r="F71" s="18">
        <v>500</v>
      </c>
      <c r="G71" s="18">
        <v>494</v>
      </c>
      <c r="H71" s="18">
        <v>6</v>
      </c>
      <c r="I71" s="19">
        <v>85</v>
      </c>
      <c r="J71" s="19">
        <v>89</v>
      </c>
      <c r="K71" s="17" t="s">
        <v>16</v>
      </c>
      <c r="L71" s="19">
        <f>Table2[[#This Row],[QTA_LOTTO]]*Table2[[#This Row],[COSTO_STD_UNITARIO]]</f>
        <v>42500</v>
      </c>
      <c r="M71" s="19">
        <f>Table2[[#This Row],[QTA_PRODOTTA_EFF]]*Table2[[#This Row],[COSTO_EFF_UNITARIO]]</f>
        <v>43966</v>
      </c>
      <c r="N71" s="19">
        <f>Table2[[#This Row],[TOT_EFF_COST (€)]]-Table2[[#This Row],[TOT_STD_COST (€)]]</f>
        <v>1466</v>
      </c>
      <c r="O71" s="28">
        <f>Table2[[#This Row],[QTA_SCARTO]]/Table2[[#This Row],[QTA_LOTTO]]</f>
        <v>1.2E-2</v>
      </c>
      <c r="P71" s="19"/>
      <c r="Q71" s="19"/>
    </row>
    <row r="72" spans="1:17" x14ac:dyDescent="0.3">
      <c r="A72" s="17" t="s">
        <v>181</v>
      </c>
      <c r="B72" s="21">
        <v>46213</v>
      </c>
      <c r="C72" s="17" t="s">
        <v>13</v>
      </c>
      <c r="D72" s="17" t="s">
        <v>29</v>
      </c>
      <c r="E72" s="17" t="s">
        <v>30</v>
      </c>
      <c r="F72" s="18">
        <v>100</v>
      </c>
      <c r="G72" s="18">
        <v>96</v>
      </c>
      <c r="H72" s="18">
        <v>4</v>
      </c>
      <c r="I72" s="19">
        <v>65</v>
      </c>
      <c r="J72" s="19">
        <v>62.93</v>
      </c>
      <c r="K72" s="17" t="s">
        <v>16</v>
      </c>
      <c r="L72" s="19">
        <f>Table2[[#This Row],[QTA_LOTTO]]*Table2[[#This Row],[COSTO_STD_UNITARIO]]</f>
        <v>6500</v>
      </c>
      <c r="M72" s="19">
        <f>Table2[[#This Row],[QTA_PRODOTTA_EFF]]*Table2[[#This Row],[COSTO_EFF_UNITARIO]]</f>
        <v>6041.28</v>
      </c>
      <c r="N72" s="19">
        <f>Table2[[#This Row],[TOT_EFF_COST (€)]]-Table2[[#This Row],[TOT_STD_COST (€)]]</f>
        <v>-458.72000000000025</v>
      </c>
      <c r="O72" s="28">
        <f>Table2[[#This Row],[QTA_SCARTO]]/Table2[[#This Row],[QTA_LOTTO]]</f>
        <v>0.04</v>
      </c>
      <c r="P72" s="19"/>
      <c r="Q72" s="19"/>
    </row>
    <row r="73" spans="1:17" x14ac:dyDescent="0.3">
      <c r="A73" s="17" t="s">
        <v>183</v>
      </c>
      <c r="B73" s="21">
        <v>46295</v>
      </c>
      <c r="C73" s="17" t="s">
        <v>38</v>
      </c>
      <c r="D73" s="17" t="s">
        <v>46</v>
      </c>
      <c r="E73" s="17" t="s">
        <v>47</v>
      </c>
      <c r="F73" s="18">
        <v>1000</v>
      </c>
      <c r="G73" s="18">
        <v>987</v>
      </c>
      <c r="H73" s="18">
        <v>13</v>
      </c>
      <c r="I73" s="19">
        <v>35</v>
      </c>
      <c r="J73" s="19">
        <v>38.520000000000003</v>
      </c>
      <c r="K73" s="17" t="s">
        <v>55</v>
      </c>
      <c r="L73" s="19">
        <f>Table2[[#This Row],[QTA_LOTTO]]*Table2[[#This Row],[COSTO_STD_UNITARIO]]</f>
        <v>35000</v>
      </c>
      <c r="M73" s="19">
        <f>Table2[[#This Row],[QTA_PRODOTTA_EFF]]*Table2[[#This Row],[COSTO_EFF_UNITARIO]]</f>
        <v>38019.240000000005</v>
      </c>
      <c r="N73" s="19">
        <f>Table2[[#This Row],[TOT_EFF_COST (€)]]-Table2[[#This Row],[TOT_STD_COST (€)]]</f>
        <v>3019.2400000000052</v>
      </c>
      <c r="O73" s="28">
        <f>Table2[[#This Row],[QTA_SCARTO]]/Table2[[#This Row],[QTA_LOTTO]]</f>
        <v>1.2999999999999999E-2</v>
      </c>
      <c r="P73" s="19"/>
      <c r="Q73" s="19"/>
    </row>
    <row r="74" spans="1:17" x14ac:dyDescent="0.3">
      <c r="A74" s="17" t="s">
        <v>185</v>
      </c>
      <c r="B74" s="21">
        <v>46327</v>
      </c>
      <c r="C74" s="17" t="s">
        <v>38</v>
      </c>
      <c r="D74" s="17" t="s">
        <v>46</v>
      </c>
      <c r="E74" s="17" t="s">
        <v>47</v>
      </c>
      <c r="F74" s="18">
        <v>200</v>
      </c>
      <c r="G74" s="18">
        <v>190</v>
      </c>
      <c r="H74" s="18">
        <v>10</v>
      </c>
      <c r="I74" s="19">
        <v>35</v>
      </c>
      <c r="J74" s="19">
        <v>38.78</v>
      </c>
      <c r="K74" s="17" t="s">
        <v>55</v>
      </c>
      <c r="L74" s="19">
        <f>Table2[[#This Row],[QTA_LOTTO]]*Table2[[#This Row],[COSTO_STD_UNITARIO]]</f>
        <v>7000</v>
      </c>
      <c r="M74" s="19">
        <f>Table2[[#This Row],[QTA_PRODOTTA_EFF]]*Table2[[#This Row],[COSTO_EFF_UNITARIO]]</f>
        <v>7368.2</v>
      </c>
      <c r="N74" s="19">
        <f>Table2[[#This Row],[TOT_EFF_COST (€)]]-Table2[[#This Row],[TOT_STD_COST (€)]]</f>
        <v>368.19999999999982</v>
      </c>
      <c r="O74" s="28">
        <f>Table2[[#This Row],[QTA_SCARTO]]/Table2[[#This Row],[QTA_LOTTO]]</f>
        <v>0.05</v>
      </c>
      <c r="P74" s="19"/>
      <c r="Q74" s="19"/>
    </row>
    <row r="75" spans="1:17" x14ac:dyDescent="0.3">
      <c r="A75" s="17" t="s">
        <v>187</v>
      </c>
      <c r="B75" s="21">
        <v>46209</v>
      </c>
      <c r="C75" s="17" t="s">
        <v>38</v>
      </c>
      <c r="D75" s="17" t="s">
        <v>46</v>
      </c>
      <c r="E75" s="17" t="s">
        <v>47</v>
      </c>
      <c r="F75" s="18">
        <v>150</v>
      </c>
      <c r="G75" s="18">
        <v>132</v>
      </c>
      <c r="H75" s="18">
        <v>18</v>
      </c>
      <c r="I75" s="19">
        <v>35</v>
      </c>
      <c r="J75" s="19">
        <v>38.97</v>
      </c>
      <c r="K75" s="17" t="s">
        <v>25</v>
      </c>
      <c r="L75" s="19">
        <f>Table2[[#This Row],[QTA_LOTTO]]*Table2[[#This Row],[COSTO_STD_UNITARIO]]</f>
        <v>5250</v>
      </c>
      <c r="M75" s="19">
        <f>Table2[[#This Row],[QTA_PRODOTTA_EFF]]*Table2[[#This Row],[COSTO_EFF_UNITARIO]]</f>
        <v>5144.04</v>
      </c>
      <c r="N75" s="19">
        <f>Table2[[#This Row],[TOT_EFF_COST (€)]]-Table2[[#This Row],[TOT_STD_COST (€)]]</f>
        <v>-105.96000000000004</v>
      </c>
      <c r="O75" s="28">
        <f>Table2[[#This Row],[QTA_SCARTO]]/Table2[[#This Row],[QTA_LOTTO]]</f>
        <v>0.12</v>
      </c>
      <c r="P75" s="19"/>
      <c r="Q75" s="19"/>
    </row>
    <row r="76" spans="1:17" x14ac:dyDescent="0.3">
      <c r="A76" s="17" t="s">
        <v>189</v>
      </c>
      <c r="B76" s="21">
        <v>46226</v>
      </c>
      <c r="C76" s="17" t="s">
        <v>38</v>
      </c>
      <c r="D76" s="17" t="s">
        <v>116</v>
      </c>
      <c r="E76" s="17" t="s">
        <v>117</v>
      </c>
      <c r="F76" s="18">
        <v>100</v>
      </c>
      <c r="G76" s="18">
        <v>85</v>
      </c>
      <c r="H76" s="18">
        <v>15</v>
      </c>
      <c r="I76" s="19">
        <v>28</v>
      </c>
      <c r="J76" s="19">
        <v>28.78</v>
      </c>
      <c r="K76" s="17" t="s">
        <v>55</v>
      </c>
      <c r="L76" s="19">
        <f>Table2[[#This Row],[QTA_LOTTO]]*Table2[[#This Row],[COSTO_STD_UNITARIO]]</f>
        <v>2800</v>
      </c>
      <c r="M76" s="19">
        <f>Table2[[#This Row],[QTA_PRODOTTA_EFF]]*Table2[[#This Row],[COSTO_EFF_UNITARIO]]</f>
        <v>2446.3000000000002</v>
      </c>
      <c r="N76" s="19">
        <f>Table2[[#This Row],[TOT_EFF_COST (€)]]-Table2[[#This Row],[TOT_STD_COST (€)]]</f>
        <v>-353.69999999999982</v>
      </c>
      <c r="O76" s="28">
        <f>Table2[[#This Row],[QTA_SCARTO]]/Table2[[#This Row],[QTA_LOTTO]]</f>
        <v>0.15</v>
      </c>
      <c r="P76" s="19"/>
      <c r="Q76" s="19"/>
    </row>
    <row r="77" spans="1:17" x14ac:dyDescent="0.3">
      <c r="A77" s="17" t="s">
        <v>191</v>
      </c>
      <c r="B77" s="21">
        <v>46284</v>
      </c>
      <c r="C77" s="17" t="s">
        <v>13</v>
      </c>
      <c r="D77" s="17" t="s">
        <v>34</v>
      </c>
      <c r="E77" s="17" t="s">
        <v>35</v>
      </c>
      <c r="F77" s="18">
        <v>200</v>
      </c>
      <c r="G77" s="18">
        <v>195</v>
      </c>
      <c r="H77" s="18">
        <v>5</v>
      </c>
      <c r="I77" s="19">
        <v>210</v>
      </c>
      <c r="J77" s="19">
        <v>203.18</v>
      </c>
      <c r="K77" s="17" t="s">
        <v>25</v>
      </c>
      <c r="L77" s="19">
        <f>Table2[[#This Row],[QTA_LOTTO]]*Table2[[#This Row],[COSTO_STD_UNITARIO]]</f>
        <v>42000</v>
      </c>
      <c r="M77" s="19">
        <f>Table2[[#This Row],[QTA_PRODOTTA_EFF]]*Table2[[#This Row],[COSTO_EFF_UNITARIO]]</f>
        <v>39620.1</v>
      </c>
      <c r="N77" s="19">
        <f>Table2[[#This Row],[TOT_EFF_COST (€)]]-Table2[[#This Row],[TOT_STD_COST (€)]]</f>
        <v>-2379.9000000000015</v>
      </c>
      <c r="O77" s="28">
        <f>Table2[[#This Row],[QTA_SCARTO]]/Table2[[#This Row],[QTA_LOTTO]]</f>
        <v>2.5000000000000001E-2</v>
      </c>
      <c r="P77" s="19"/>
      <c r="Q77" s="19"/>
    </row>
    <row r="78" spans="1:17" x14ac:dyDescent="0.3">
      <c r="A78" s="17" t="s">
        <v>193</v>
      </c>
      <c r="B78" s="21">
        <v>46207</v>
      </c>
      <c r="C78" s="17" t="s">
        <v>28</v>
      </c>
      <c r="D78" s="17" t="s">
        <v>116</v>
      </c>
      <c r="E78" s="17" t="s">
        <v>117</v>
      </c>
      <c r="F78" s="18">
        <v>150</v>
      </c>
      <c r="G78" s="18">
        <v>138</v>
      </c>
      <c r="H78" s="18">
        <v>12</v>
      </c>
      <c r="I78" s="19">
        <v>28</v>
      </c>
      <c r="J78" s="19">
        <v>29.45</v>
      </c>
      <c r="K78" s="17" t="s">
        <v>55</v>
      </c>
      <c r="L78" s="19">
        <f>Table2[[#This Row],[QTA_LOTTO]]*Table2[[#This Row],[COSTO_STD_UNITARIO]]</f>
        <v>4200</v>
      </c>
      <c r="M78" s="19">
        <f>Table2[[#This Row],[QTA_PRODOTTA_EFF]]*Table2[[#This Row],[COSTO_EFF_UNITARIO]]</f>
        <v>4064.1</v>
      </c>
      <c r="N78" s="19">
        <f>Table2[[#This Row],[TOT_EFF_COST (€)]]-Table2[[#This Row],[TOT_STD_COST (€)]]</f>
        <v>-135.90000000000009</v>
      </c>
      <c r="O78" s="28">
        <f>Table2[[#This Row],[QTA_SCARTO]]/Table2[[#This Row],[QTA_LOTTO]]</f>
        <v>0.08</v>
      </c>
      <c r="P78" s="19"/>
      <c r="Q78" s="19"/>
    </row>
    <row r="79" spans="1:17" x14ac:dyDescent="0.3">
      <c r="A79" s="17" t="s">
        <v>195</v>
      </c>
      <c r="B79" s="21">
        <v>46231</v>
      </c>
      <c r="C79" s="17" t="s">
        <v>28</v>
      </c>
      <c r="D79" s="17" t="s">
        <v>14</v>
      </c>
      <c r="E79" s="17" t="s">
        <v>15</v>
      </c>
      <c r="F79" s="18">
        <v>100</v>
      </c>
      <c r="G79" s="18">
        <v>93</v>
      </c>
      <c r="H79" s="18">
        <v>7</v>
      </c>
      <c r="I79" s="19">
        <v>45</v>
      </c>
      <c r="J79" s="19">
        <v>44.15</v>
      </c>
      <c r="K79" s="17" t="s">
        <v>55</v>
      </c>
      <c r="L79" s="19">
        <f>Table2[[#This Row],[QTA_LOTTO]]*Table2[[#This Row],[COSTO_STD_UNITARIO]]</f>
        <v>4500</v>
      </c>
      <c r="M79" s="19">
        <f>Table2[[#This Row],[QTA_PRODOTTA_EFF]]*Table2[[#This Row],[COSTO_EFF_UNITARIO]]</f>
        <v>4105.95</v>
      </c>
      <c r="N79" s="19">
        <f>Table2[[#This Row],[TOT_EFF_COST (€)]]-Table2[[#This Row],[TOT_STD_COST (€)]]</f>
        <v>-394.05000000000018</v>
      </c>
      <c r="O79" s="28">
        <f>Table2[[#This Row],[QTA_SCARTO]]/Table2[[#This Row],[QTA_LOTTO]]</f>
        <v>7.0000000000000007E-2</v>
      </c>
      <c r="P79" s="19"/>
      <c r="Q79" s="19"/>
    </row>
    <row r="80" spans="1:17" x14ac:dyDescent="0.3">
      <c r="A80" s="17" t="s">
        <v>197</v>
      </c>
      <c r="B80" s="21">
        <v>46273</v>
      </c>
      <c r="C80" s="17" t="s">
        <v>28</v>
      </c>
      <c r="D80" s="17" t="s">
        <v>46</v>
      </c>
      <c r="E80" s="17" t="s">
        <v>47</v>
      </c>
      <c r="F80" s="18">
        <v>500</v>
      </c>
      <c r="G80" s="18">
        <v>488</v>
      </c>
      <c r="H80" s="18">
        <v>12</v>
      </c>
      <c r="I80" s="19">
        <v>35</v>
      </c>
      <c r="J80" s="19">
        <v>38.090000000000003</v>
      </c>
      <c r="K80" s="17" t="s">
        <v>16</v>
      </c>
      <c r="L80" s="19">
        <f>Table2[[#This Row],[QTA_LOTTO]]*Table2[[#This Row],[COSTO_STD_UNITARIO]]</f>
        <v>17500</v>
      </c>
      <c r="M80" s="19">
        <f>Table2[[#This Row],[QTA_PRODOTTA_EFF]]*Table2[[#This Row],[COSTO_EFF_UNITARIO]]</f>
        <v>18587.920000000002</v>
      </c>
      <c r="N80" s="19">
        <f>Table2[[#This Row],[TOT_EFF_COST (€)]]-Table2[[#This Row],[TOT_STD_COST (€)]]</f>
        <v>1087.9200000000019</v>
      </c>
      <c r="O80" s="28">
        <f>Table2[[#This Row],[QTA_SCARTO]]/Table2[[#This Row],[QTA_LOTTO]]</f>
        <v>2.4E-2</v>
      </c>
      <c r="P80" s="19"/>
      <c r="Q80" s="19"/>
    </row>
    <row r="81" spans="1:17" x14ac:dyDescent="0.3">
      <c r="A81" s="17" t="s">
        <v>199</v>
      </c>
      <c r="B81" s="21">
        <v>46316</v>
      </c>
      <c r="C81" s="17" t="s">
        <v>38</v>
      </c>
      <c r="D81" s="17" t="s">
        <v>58</v>
      </c>
      <c r="E81" s="17" t="s">
        <v>59</v>
      </c>
      <c r="F81" s="18">
        <v>500</v>
      </c>
      <c r="G81" s="18">
        <v>489</v>
      </c>
      <c r="H81" s="18">
        <v>11</v>
      </c>
      <c r="I81" s="19">
        <v>340</v>
      </c>
      <c r="J81" s="19">
        <v>354.84</v>
      </c>
      <c r="K81" s="17" t="s">
        <v>25</v>
      </c>
      <c r="L81" s="19">
        <f>Table2[[#This Row],[QTA_LOTTO]]*Table2[[#This Row],[COSTO_STD_UNITARIO]]</f>
        <v>170000</v>
      </c>
      <c r="M81" s="19">
        <f>Table2[[#This Row],[QTA_PRODOTTA_EFF]]*Table2[[#This Row],[COSTO_EFF_UNITARIO]]</f>
        <v>173516.75999999998</v>
      </c>
      <c r="N81" s="19">
        <f>Table2[[#This Row],[TOT_EFF_COST (€)]]-Table2[[#This Row],[TOT_STD_COST (€)]]</f>
        <v>3516.7599999999802</v>
      </c>
      <c r="O81" s="28">
        <f>Table2[[#This Row],[QTA_SCARTO]]/Table2[[#This Row],[QTA_LOTTO]]</f>
        <v>2.1999999999999999E-2</v>
      </c>
      <c r="P81" s="19"/>
      <c r="Q81" s="19"/>
    </row>
    <row r="82" spans="1:17" x14ac:dyDescent="0.3">
      <c r="A82" s="17" t="s">
        <v>201</v>
      </c>
      <c r="B82" s="21">
        <v>46276</v>
      </c>
      <c r="C82" s="17" t="s">
        <v>38</v>
      </c>
      <c r="D82" s="17" t="s">
        <v>89</v>
      </c>
      <c r="E82" s="17" t="s">
        <v>90</v>
      </c>
      <c r="F82" s="18">
        <v>100</v>
      </c>
      <c r="G82" s="18">
        <v>76</v>
      </c>
      <c r="H82" s="18">
        <v>24</v>
      </c>
      <c r="I82" s="19">
        <v>85</v>
      </c>
      <c r="J82" s="19">
        <v>91.33</v>
      </c>
      <c r="K82" s="17" t="s">
        <v>39</v>
      </c>
      <c r="L82" s="19">
        <f>Table2[[#This Row],[QTA_LOTTO]]*Table2[[#This Row],[COSTO_STD_UNITARIO]]</f>
        <v>8500</v>
      </c>
      <c r="M82" s="19">
        <f>Table2[[#This Row],[QTA_PRODOTTA_EFF]]*Table2[[#This Row],[COSTO_EFF_UNITARIO]]</f>
        <v>6941.08</v>
      </c>
      <c r="N82" s="19">
        <f>Table2[[#This Row],[TOT_EFF_COST (€)]]-Table2[[#This Row],[TOT_STD_COST (€)]]</f>
        <v>-1558.92</v>
      </c>
      <c r="O82" s="28">
        <f>Table2[[#This Row],[QTA_SCARTO]]/Table2[[#This Row],[QTA_LOTTO]]</f>
        <v>0.24</v>
      </c>
      <c r="P82" s="19"/>
      <c r="Q82" s="19"/>
    </row>
    <row r="83" spans="1:17" x14ac:dyDescent="0.3">
      <c r="A83" s="17" t="s">
        <v>203</v>
      </c>
      <c r="B83" s="21">
        <v>46326</v>
      </c>
      <c r="C83" s="17" t="s">
        <v>28</v>
      </c>
      <c r="D83" s="17" t="s">
        <v>20</v>
      </c>
      <c r="E83" s="17" t="s">
        <v>21</v>
      </c>
      <c r="F83" s="18">
        <v>1000</v>
      </c>
      <c r="G83" s="18">
        <v>990</v>
      </c>
      <c r="H83" s="18">
        <v>10</v>
      </c>
      <c r="I83" s="19">
        <v>120</v>
      </c>
      <c r="J83" s="19">
        <v>114.4</v>
      </c>
      <c r="K83" s="17" t="s">
        <v>16</v>
      </c>
      <c r="L83" s="19">
        <f>Table2[[#This Row],[QTA_LOTTO]]*Table2[[#This Row],[COSTO_STD_UNITARIO]]</f>
        <v>120000</v>
      </c>
      <c r="M83" s="19">
        <f>Table2[[#This Row],[QTA_PRODOTTA_EFF]]*Table2[[#This Row],[COSTO_EFF_UNITARIO]]</f>
        <v>113256</v>
      </c>
      <c r="N83" s="19">
        <f>Table2[[#This Row],[TOT_EFF_COST (€)]]-Table2[[#This Row],[TOT_STD_COST (€)]]</f>
        <v>-6744</v>
      </c>
      <c r="O83" s="28">
        <f>Table2[[#This Row],[QTA_SCARTO]]/Table2[[#This Row],[QTA_LOTTO]]</f>
        <v>0.01</v>
      </c>
      <c r="P83" s="19"/>
      <c r="Q83" s="19"/>
    </row>
    <row r="84" spans="1:17" x14ac:dyDescent="0.3">
      <c r="A84" s="17" t="s">
        <v>205</v>
      </c>
      <c r="B84" s="21">
        <v>46212</v>
      </c>
      <c r="C84" s="17" t="s">
        <v>28</v>
      </c>
      <c r="D84" s="17" t="s">
        <v>20</v>
      </c>
      <c r="E84" s="17" t="s">
        <v>21</v>
      </c>
      <c r="F84" s="18">
        <v>1000</v>
      </c>
      <c r="G84" s="18">
        <v>982</v>
      </c>
      <c r="H84" s="18">
        <v>18</v>
      </c>
      <c r="I84" s="19">
        <v>120</v>
      </c>
      <c r="J84" s="19">
        <v>115.15</v>
      </c>
      <c r="K84" s="17" t="s">
        <v>55</v>
      </c>
      <c r="L84" s="19">
        <f>Table2[[#This Row],[QTA_LOTTO]]*Table2[[#This Row],[COSTO_STD_UNITARIO]]</f>
        <v>120000</v>
      </c>
      <c r="M84" s="19">
        <f>Table2[[#This Row],[QTA_PRODOTTA_EFF]]*Table2[[#This Row],[COSTO_EFF_UNITARIO]]</f>
        <v>113077.3</v>
      </c>
      <c r="N84" s="19">
        <f>Table2[[#This Row],[TOT_EFF_COST (€)]]-Table2[[#This Row],[TOT_STD_COST (€)]]</f>
        <v>-6922.6999999999971</v>
      </c>
      <c r="O84" s="28">
        <f>Table2[[#This Row],[QTA_SCARTO]]/Table2[[#This Row],[QTA_LOTTO]]</f>
        <v>1.7999999999999999E-2</v>
      </c>
      <c r="P84" s="19"/>
      <c r="Q84" s="19"/>
    </row>
    <row r="85" spans="1:17" x14ac:dyDescent="0.3">
      <c r="A85" s="17" t="s">
        <v>207</v>
      </c>
      <c r="B85" s="21">
        <v>46305</v>
      </c>
      <c r="C85" s="17" t="s">
        <v>38</v>
      </c>
      <c r="D85" s="17" t="s">
        <v>42</v>
      </c>
      <c r="E85" s="17" t="s">
        <v>43</v>
      </c>
      <c r="F85" s="18">
        <v>100</v>
      </c>
      <c r="G85" s="18">
        <v>92</v>
      </c>
      <c r="H85" s="18">
        <v>8</v>
      </c>
      <c r="I85" s="19">
        <v>150</v>
      </c>
      <c r="J85" s="19">
        <v>146.44</v>
      </c>
      <c r="K85" s="17" t="s">
        <v>25</v>
      </c>
      <c r="L85" s="19">
        <f>Table2[[#This Row],[QTA_LOTTO]]*Table2[[#This Row],[COSTO_STD_UNITARIO]]</f>
        <v>15000</v>
      </c>
      <c r="M85" s="19">
        <f>Table2[[#This Row],[QTA_PRODOTTA_EFF]]*Table2[[#This Row],[COSTO_EFF_UNITARIO]]</f>
        <v>13472.48</v>
      </c>
      <c r="N85" s="19">
        <f>Table2[[#This Row],[TOT_EFF_COST (€)]]-Table2[[#This Row],[TOT_STD_COST (€)]]</f>
        <v>-1527.5200000000004</v>
      </c>
      <c r="O85" s="28">
        <f>Table2[[#This Row],[QTA_SCARTO]]/Table2[[#This Row],[QTA_LOTTO]]</f>
        <v>0.08</v>
      </c>
      <c r="P85" s="19"/>
      <c r="Q85" s="19"/>
    </row>
    <row r="86" spans="1:17" x14ac:dyDescent="0.3">
      <c r="A86" s="17" t="s">
        <v>209</v>
      </c>
      <c r="B86" s="21">
        <v>46316</v>
      </c>
      <c r="C86" s="17" t="s">
        <v>13</v>
      </c>
      <c r="D86" s="17" t="s">
        <v>14</v>
      </c>
      <c r="E86" s="17" t="s">
        <v>15</v>
      </c>
      <c r="F86" s="18">
        <v>300</v>
      </c>
      <c r="G86" s="18">
        <v>294</v>
      </c>
      <c r="H86" s="18">
        <v>6</v>
      </c>
      <c r="I86" s="19">
        <v>45</v>
      </c>
      <c r="J86" s="19">
        <v>40.42</v>
      </c>
      <c r="K86" s="17" t="s">
        <v>39</v>
      </c>
      <c r="L86" s="19">
        <f>Table2[[#This Row],[QTA_LOTTO]]*Table2[[#This Row],[COSTO_STD_UNITARIO]]</f>
        <v>13500</v>
      </c>
      <c r="M86" s="19">
        <f>Table2[[#This Row],[QTA_PRODOTTA_EFF]]*Table2[[#This Row],[COSTO_EFF_UNITARIO]]</f>
        <v>11883.480000000001</v>
      </c>
      <c r="N86" s="19">
        <f>Table2[[#This Row],[TOT_EFF_COST (€)]]-Table2[[#This Row],[TOT_STD_COST (€)]]</f>
        <v>-1616.5199999999986</v>
      </c>
      <c r="O86" s="28">
        <f>Table2[[#This Row],[QTA_SCARTO]]/Table2[[#This Row],[QTA_LOTTO]]</f>
        <v>0.02</v>
      </c>
      <c r="P86" s="19"/>
      <c r="Q86" s="19"/>
    </row>
    <row r="87" spans="1:17" x14ac:dyDescent="0.3">
      <c r="A87" s="17" t="s">
        <v>211</v>
      </c>
      <c r="B87" s="21">
        <v>46204</v>
      </c>
      <c r="C87" s="17" t="s">
        <v>38</v>
      </c>
      <c r="D87" s="17" t="s">
        <v>34</v>
      </c>
      <c r="E87" s="17" t="s">
        <v>35</v>
      </c>
      <c r="F87" s="18">
        <v>300</v>
      </c>
      <c r="G87" s="18">
        <v>276</v>
      </c>
      <c r="H87" s="18">
        <v>24</v>
      </c>
      <c r="I87" s="19">
        <v>210</v>
      </c>
      <c r="J87" s="19">
        <v>206.24</v>
      </c>
      <c r="K87" s="17" t="s">
        <v>39</v>
      </c>
      <c r="L87" s="19">
        <f>Table2[[#This Row],[QTA_LOTTO]]*Table2[[#This Row],[COSTO_STD_UNITARIO]]</f>
        <v>63000</v>
      </c>
      <c r="M87" s="19">
        <f>Table2[[#This Row],[QTA_PRODOTTA_EFF]]*Table2[[#This Row],[COSTO_EFF_UNITARIO]]</f>
        <v>56922.240000000005</v>
      </c>
      <c r="N87" s="19">
        <f>Table2[[#This Row],[TOT_EFF_COST (€)]]-Table2[[#This Row],[TOT_STD_COST (€)]]</f>
        <v>-6077.7599999999948</v>
      </c>
      <c r="O87" s="28">
        <f>Table2[[#This Row],[QTA_SCARTO]]/Table2[[#This Row],[QTA_LOTTO]]</f>
        <v>0.08</v>
      </c>
      <c r="P87" s="19"/>
      <c r="Q87" s="19"/>
    </row>
    <row r="88" spans="1:17" x14ac:dyDescent="0.3">
      <c r="A88" s="17" t="s">
        <v>213</v>
      </c>
      <c r="B88" s="21">
        <v>46344</v>
      </c>
      <c r="C88" s="17" t="s">
        <v>28</v>
      </c>
      <c r="D88" s="17" t="s">
        <v>116</v>
      </c>
      <c r="E88" s="17" t="s">
        <v>117</v>
      </c>
      <c r="F88" s="18">
        <v>500</v>
      </c>
      <c r="G88" s="18">
        <v>477</v>
      </c>
      <c r="H88" s="18">
        <v>23</v>
      </c>
      <c r="I88" s="19">
        <v>28</v>
      </c>
      <c r="J88" s="19">
        <v>25.18</v>
      </c>
      <c r="K88" s="17" t="s">
        <v>25</v>
      </c>
      <c r="L88" s="19">
        <f>Table2[[#This Row],[QTA_LOTTO]]*Table2[[#This Row],[COSTO_STD_UNITARIO]]</f>
        <v>14000</v>
      </c>
      <c r="M88" s="19">
        <f>Table2[[#This Row],[QTA_PRODOTTA_EFF]]*Table2[[#This Row],[COSTO_EFF_UNITARIO]]</f>
        <v>12010.86</v>
      </c>
      <c r="N88" s="19">
        <f>Table2[[#This Row],[TOT_EFF_COST (€)]]-Table2[[#This Row],[TOT_STD_COST (€)]]</f>
        <v>-1989.1399999999994</v>
      </c>
      <c r="O88" s="28">
        <f>Table2[[#This Row],[QTA_SCARTO]]/Table2[[#This Row],[QTA_LOTTO]]</f>
        <v>4.5999999999999999E-2</v>
      </c>
      <c r="P88" s="19"/>
      <c r="Q88" s="19"/>
    </row>
    <row r="89" spans="1:17" x14ac:dyDescent="0.3">
      <c r="A89" s="17" t="s">
        <v>215</v>
      </c>
      <c r="B89" s="21">
        <v>46322</v>
      </c>
      <c r="C89" s="17" t="s">
        <v>38</v>
      </c>
      <c r="D89" s="17" t="s">
        <v>89</v>
      </c>
      <c r="E89" s="17" t="s">
        <v>90</v>
      </c>
      <c r="F89" s="18">
        <v>200</v>
      </c>
      <c r="G89" s="18">
        <v>197</v>
      </c>
      <c r="H89" s="18">
        <v>3</v>
      </c>
      <c r="I89" s="19">
        <v>85</v>
      </c>
      <c r="J89" s="19">
        <v>91.62</v>
      </c>
      <c r="K89" s="17" t="s">
        <v>39</v>
      </c>
      <c r="L89" s="19">
        <f>Table2[[#This Row],[QTA_LOTTO]]*Table2[[#This Row],[COSTO_STD_UNITARIO]]</f>
        <v>17000</v>
      </c>
      <c r="M89" s="19">
        <f>Table2[[#This Row],[QTA_PRODOTTA_EFF]]*Table2[[#This Row],[COSTO_EFF_UNITARIO]]</f>
        <v>18049.14</v>
      </c>
      <c r="N89" s="19">
        <f>Table2[[#This Row],[TOT_EFF_COST (€)]]-Table2[[#This Row],[TOT_STD_COST (€)]]</f>
        <v>1049.1399999999994</v>
      </c>
      <c r="O89" s="28">
        <f>Table2[[#This Row],[QTA_SCARTO]]/Table2[[#This Row],[QTA_LOTTO]]</f>
        <v>1.4999999999999999E-2</v>
      </c>
      <c r="P89" s="19"/>
      <c r="Q89" s="19"/>
    </row>
    <row r="90" spans="1:17" x14ac:dyDescent="0.3">
      <c r="A90" s="17" t="s">
        <v>217</v>
      </c>
      <c r="B90" s="21">
        <v>46263</v>
      </c>
      <c r="C90" s="17" t="s">
        <v>28</v>
      </c>
      <c r="D90" s="17" t="s">
        <v>42</v>
      </c>
      <c r="E90" s="17" t="s">
        <v>43</v>
      </c>
      <c r="F90" s="18">
        <v>150</v>
      </c>
      <c r="G90" s="18">
        <v>136</v>
      </c>
      <c r="H90" s="18">
        <v>14</v>
      </c>
      <c r="I90" s="19">
        <v>150</v>
      </c>
      <c r="J90" s="19">
        <v>143.57</v>
      </c>
      <c r="K90" s="17" t="s">
        <v>25</v>
      </c>
      <c r="L90" s="19">
        <f>Table2[[#This Row],[QTA_LOTTO]]*Table2[[#This Row],[COSTO_STD_UNITARIO]]</f>
        <v>22500</v>
      </c>
      <c r="M90" s="19">
        <f>Table2[[#This Row],[QTA_PRODOTTA_EFF]]*Table2[[#This Row],[COSTO_EFF_UNITARIO]]</f>
        <v>19525.52</v>
      </c>
      <c r="N90" s="19">
        <f>Table2[[#This Row],[TOT_EFF_COST (€)]]-Table2[[#This Row],[TOT_STD_COST (€)]]</f>
        <v>-2974.4799999999996</v>
      </c>
      <c r="O90" s="28">
        <f>Table2[[#This Row],[QTA_SCARTO]]/Table2[[#This Row],[QTA_LOTTO]]</f>
        <v>9.3333333333333338E-2</v>
      </c>
      <c r="P90" s="19"/>
      <c r="Q90" s="19"/>
    </row>
    <row r="91" spans="1:17" x14ac:dyDescent="0.3">
      <c r="A91" s="17" t="s">
        <v>219</v>
      </c>
      <c r="B91" s="21">
        <v>46286</v>
      </c>
      <c r="C91" s="17" t="s">
        <v>28</v>
      </c>
      <c r="D91" s="17" t="s">
        <v>58</v>
      </c>
      <c r="E91" s="17" t="s">
        <v>59</v>
      </c>
      <c r="F91" s="18">
        <v>500</v>
      </c>
      <c r="G91" s="18">
        <v>493</v>
      </c>
      <c r="H91" s="18">
        <v>7</v>
      </c>
      <c r="I91" s="19">
        <v>340</v>
      </c>
      <c r="J91" s="19">
        <v>354.37</v>
      </c>
      <c r="K91" s="17" t="s">
        <v>39</v>
      </c>
      <c r="L91" s="19">
        <f>Table2[[#This Row],[QTA_LOTTO]]*Table2[[#This Row],[COSTO_STD_UNITARIO]]</f>
        <v>170000</v>
      </c>
      <c r="M91" s="19">
        <f>Table2[[#This Row],[QTA_PRODOTTA_EFF]]*Table2[[#This Row],[COSTO_EFF_UNITARIO]]</f>
        <v>174704.41</v>
      </c>
      <c r="N91" s="19">
        <f>Table2[[#This Row],[TOT_EFF_COST (€)]]-Table2[[#This Row],[TOT_STD_COST (€)]]</f>
        <v>4704.4100000000035</v>
      </c>
      <c r="O91" s="28">
        <f>Table2[[#This Row],[QTA_SCARTO]]/Table2[[#This Row],[QTA_LOTTO]]</f>
        <v>1.4E-2</v>
      </c>
      <c r="P91" s="19"/>
      <c r="Q91" s="19"/>
    </row>
    <row r="92" spans="1:17" x14ac:dyDescent="0.3">
      <c r="A92" s="17" t="s">
        <v>221</v>
      </c>
      <c r="B92" s="21">
        <v>46258</v>
      </c>
      <c r="C92" s="17" t="s">
        <v>13</v>
      </c>
      <c r="D92" s="17" t="s">
        <v>46</v>
      </c>
      <c r="E92" s="17" t="s">
        <v>47</v>
      </c>
      <c r="F92" s="18">
        <v>150</v>
      </c>
      <c r="G92" s="18">
        <v>139</v>
      </c>
      <c r="H92" s="18">
        <v>11</v>
      </c>
      <c r="I92" s="19">
        <v>35</v>
      </c>
      <c r="J92" s="19">
        <v>36.130000000000003</v>
      </c>
      <c r="K92" s="17" t="s">
        <v>55</v>
      </c>
      <c r="L92" s="19">
        <f>Table2[[#This Row],[QTA_LOTTO]]*Table2[[#This Row],[COSTO_STD_UNITARIO]]</f>
        <v>5250</v>
      </c>
      <c r="M92" s="19">
        <f>Table2[[#This Row],[QTA_PRODOTTA_EFF]]*Table2[[#This Row],[COSTO_EFF_UNITARIO]]</f>
        <v>5022.0700000000006</v>
      </c>
      <c r="N92" s="19">
        <f>Table2[[#This Row],[TOT_EFF_COST (€)]]-Table2[[#This Row],[TOT_STD_COST (€)]]</f>
        <v>-227.92999999999938</v>
      </c>
      <c r="O92" s="28">
        <f>Table2[[#This Row],[QTA_SCARTO]]/Table2[[#This Row],[QTA_LOTTO]]</f>
        <v>7.3333333333333334E-2</v>
      </c>
      <c r="P92" s="19"/>
      <c r="Q92" s="19"/>
    </row>
    <row r="93" spans="1:17" x14ac:dyDescent="0.3">
      <c r="A93" s="17" t="s">
        <v>223</v>
      </c>
      <c r="B93" s="21">
        <v>46241</v>
      </c>
      <c r="C93" s="17" t="s">
        <v>13</v>
      </c>
      <c r="D93" s="17" t="s">
        <v>89</v>
      </c>
      <c r="E93" s="17" t="s">
        <v>90</v>
      </c>
      <c r="F93" s="18">
        <v>1000</v>
      </c>
      <c r="G93" s="18">
        <v>982</v>
      </c>
      <c r="H93" s="18">
        <v>18</v>
      </c>
      <c r="I93" s="19">
        <v>85</v>
      </c>
      <c r="J93" s="19">
        <v>90.29</v>
      </c>
      <c r="K93" s="17" t="s">
        <v>55</v>
      </c>
      <c r="L93" s="19">
        <f>Table2[[#This Row],[QTA_LOTTO]]*Table2[[#This Row],[COSTO_STD_UNITARIO]]</f>
        <v>85000</v>
      </c>
      <c r="M93" s="19">
        <f>Table2[[#This Row],[QTA_PRODOTTA_EFF]]*Table2[[#This Row],[COSTO_EFF_UNITARIO]]</f>
        <v>88664.780000000013</v>
      </c>
      <c r="N93" s="19">
        <f>Table2[[#This Row],[TOT_EFF_COST (€)]]-Table2[[#This Row],[TOT_STD_COST (€)]]</f>
        <v>3664.7800000000134</v>
      </c>
      <c r="O93" s="28">
        <f>Table2[[#This Row],[QTA_SCARTO]]/Table2[[#This Row],[QTA_LOTTO]]</f>
        <v>1.7999999999999999E-2</v>
      </c>
      <c r="P93" s="19"/>
      <c r="Q93" s="19"/>
    </row>
    <row r="94" spans="1:17" x14ac:dyDescent="0.3">
      <c r="A94" s="17" t="s">
        <v>225</v>
      </c>
      <c r="B94" s="21">
        <v>46296</v>
      </c>
      <c r="C94" s="17" t="s">
        <v>38</v>
      </c>
      <c r="D94" s="17" t="s">
        <v>29</v>
      </c>
      <c r="E94" s="17" t="s">
        <v>30</v>
      </c>
      <c r="F94" s="18">
        <v>150</v>
      </c>
      <c r="G94" s="18">
        <v>144</v>
      </c>
      <c r="H94" s="18">
        <v>6</v>
      </c>
      <c r="I94" s="19">
        <v>65</v>
      </c>
      <c r="J94" s="19">
        <v>63.07</v>
      </c>
      <c r="K94" s="17" t="s">
        <v>22</v>
      </c>
      <c r="L94" s="19">
        <f>Table2[[#This Row],[QTA_LOTTO]]*Table2[[#This Row],[COSTO_STD_UNITARIO]]</f>
        <v>9750</v>
      </c>
      <c r="M94" s="19">
        <f>Table2[[#This Row],[QTA_PRODOTTA_EFF]]*Table2[[#This Row],[COSTO_EFF_UNITARIO]]</f>
        <v>9082.08</v>
      </c>
      <c r="N94" s="19">
        <f>Table2[[#This Row],[TOT_EFF_COST (€)]]-Table2[[#This Row],[TOT_STD_COST (€)]]</f>
        <v>-667.92000000000007</v>
      </c>
      <c r="O94" s="28">
        <f>Table2[[#This Row],[QTA_SCARTO]]/Table2[[#This Row],[QTA_LOTTO]]</f>
        <v>0.04</v>
      </c>
      <c r="P94" s="19"/>
      <c r="Q94" s="19"/>
    </row>
    <row r="95" spans="1:17" x14ac:dyDescent="0.3">
      <c r="A95" s="17" t="s">
        <v>227</v>
      </c>
      <c r="B95" s="21">
        <v>46227</v>
      </c>
      <c r="C95" s="17" t="s">
        <v>13</v>
      </c>
      <c r="D95" s="17" t="s">
        <v>46</v>
      </c>
      <c r="E95" s="17" t="s">
        <v>47</v>
      </c>
      <c r="F95" s="18">
        <v>150</v>
      </c>
      <c r="G95" s="18">
        <v>138</v>
      </c>
      <c r="H95" s="18">
        <v>12</v>
      </c>
      <c r="I95" s="19">
        <v>35</v>
      </c>
      <c r="J95" s="19">
        <v>36.79</v>
      </c>
      <c r="K95" s="17" t="s">
        <v>39</v>
      </c>
      <c r="L95" s="19">
        <f>Table2[[#This Row],[QTA_LOTTO]]*Table2[[#This Row],[COSTO_STD_UNITARIO]]</f>
        <v>5250</v>
      </c>
      <c r="M95" s="19">
        <f>Table2[[#This Row],[QTA_PRODOTTA_EFF]]*Table2[[#This Row],[COSTO_EFF_UNITARIO]]</f>
        <v>5077.0199999999995</v>
      </c>
      <c r="N95" s="19">
        <f>Table2[[#This Row],[TOT_EFF_COST (€)]]-Table2[[#This Row],[TOT_STD_COST (€)]]</f>
        <v>-172.98000000000047</v>
      </c>
      <c r="O95" s="28">
        <f>Table2[[#This Row],[QTA_SCARTO]]/Table2[[#This Row],[QTA_LOTTO]]</f>
        <v>0.08</v>
      </c>
      <c r="P95" s="19"/>
      <c r="Q95" s="19"/>
    </row>
    <row r="96" spans="1:17" x14ac:dyDescent="0.3">
      <c r="A96" s="17" t="s">
        <v>229</v>
      </c>
      <c r="B96" s="21">
        <v>46237</v>
      </c>
      <c r="C96" s="17" t="s">
        <v>28</v>
      </c>
      <c r="D96" s="17" t="s">
        <v>116</v>
      </c>
      <c r="E96" s="17" t="s">
        <v>117</v>
      </c>
      <c r="F96" s="18">
        <v>300</v>
      </c>
      <c r="G96" s="18">
        <v>282</v>
      </c>
      <c r="H96" s="18">
        <v>18</v>
      </c>
      <c r="I96" s="19">
        <v>28</v>
      </c>
      <c r="J96" s="19">
        <v>27.17</v>
      </c>
      <c r="K96" s="17" t="s">
        <v>39</v>
      </c>
      <c r="L96" s="19">
        <f>Table2[[#This Row],[QTA_LOTTO]]*Table2[[#This Row],[COSTO_STD_UNITARIO]]</f>
        <v>8400</v>
      </c>
      <c r="M96" s="19">
        <f>Table2[[#This Row],[QTA_PRODOTTA_EFF]]*Table2[[#This Row],[COSTO_EFF_UNITARIO]]</f>
        <v>7661.9400000000005</v>
      </c>
      <c r="N96" s="19">
        <f>Table2[[#This Row],[TOT_EFF_COST (€)]]-Table2[[#This Row],[TOT_STD_COST (€)]]</f>
        <v>-738.05999999999949</v>
      </c>
      <c r="O96" s="28">
        <f>Table2[[#This Row],[QTA_SCARTO]]/Table2[[#This Row],[QTA_LOTTO]]</f>
        <v>0.06</v>
      </c>
      <c r="P96" s="19"/>
      <c r="Q96" s="19"/>
    </row>
    <row r="97" spans="1:17" x14ac:dyDescent="0.3">
      <c r="A97" s="17" t="s">
        <v>231</v>
      </c>
      <c r="B97" s="21">
        <v>46324</v>
      </c>
      <c r="C97" s="17" t="s">
        <v>13</v>
      </c>
      <c r="D97" s="17" t="s">
        <v>89</v>
      </c>
      <c r="E97" s="17" t="s">
        <v>90</v>
      </c>
      <c r="F97" s="18">
        <v>100</v>
      </c>
      <c r="G97" s="18">
        <v>98</v>
      </c>
      <c r="H97" s="18">
        <v>2</v>
      </c>
      <c r="I97" s="19">
        <v>85</v>
      </c>
      <c r="J97" s="19">
        <v>89.24</v>
      </c>
      <c r="K97" s="17" t="s">
        <v>16</v>
      </c>
      <c r="L97" s="19">
        <f>Table2[[#This Row],[QTA_LOTTO]]*Table2[[#This Row],[COSTO_STD_UNITARIO]]</f>
        <v>8500</v>
      </c>
      <c r="M97" s="19">
        <f>Table2[[#This Row],[QTA_PRODOTTA_EFF]]*Table2[[#This Row],[COSTO_EFF_UNITARIO]]</f>
        <v>8745.5199999999986</v>
      </c>
      <c r="N97" s="19">
        <f>Table2[[#This Row],[TOT_EFF_COST (€)]]-Table2[[#This Row],[TOT_STD_COST (€)]]</f>
        <v>245.51999999999862</v>
      </c>
      <c r="O97" s="28">
        <f>Table2[[#This Row],[QTA_SCARTO]]/Table2[[#This Row],[QTA_LOTTO]]</f>
        <v>0.02</v>
      </c>
      <c r="P97" s="19"/>
      <c r="Q97" s="19"/>
    </row>
    <row r="98" spans="1:17" x14ac:dyDescent="0.3">
      <c r="A98" s="17" t="s">
        <v>233</v>
      </c>
      <c r="B98" s="21">
        <v>46325</v>
      </c>
      <c r="C98" s="17" t="s">
        <v>28</v>
      </c>
      <c r="D98" s="17" t="s">
        <v>89</v>
      </c>
      <c r="E98" s="17" t="s">
        <v>90</v>
      </c>
      <c r="F98" s="18">
        <v>1000</v>
      </c>
      <c r="G98" s="18">
        <v>994</v>
      </c>
      <c r="H98" s="18">
        <v>6</v>
      </c>
      <c r="I98" s="19">
        <v>85</v>
      </c>
      <c r="J98" s="19">
        <v>90.03</v>
      </c>
      <c r="K98" s="17" t="s">
        <v>55</v>
      </c>
      <c r="L98" s="19">
        <f>Table2[[#This Row],[QTA_LOTTO]]*Table2[[#This Row],[COSTO_STD_UNITARIO]]</f>
        <v>85000</v>
      </c>
      <c r="M98" s="19">
        <f>Table2[[#This Row],[QTA_PRODOTTA_EFF]]*Table2[[#This Row],[COSTO_EFF_UNITARIO]]</f>
        <v>89489.82</v>
      </c>
      <c r="N98" s="19">
        <f>Table2[[#This Row],[TOT_EFF_COST (€)]]-Table2[[#This Row],[TOT_STD_COST (€)]]</f>
        <v>4489.820000000007</v>
      </c>
      <c r="O98" s="28">
        <f>Table2[[#This Row],[QTA_SCARTO]]/Table2[[#This Row],[QTA_LOTTO]]</f>
        <v>6.0000000000000001E-3</v>
      </c>
      <c r="P98" s="19"/>
      <c r="Q98" s="19"/>
    </row>
    <row r="99" spans="1:17" x14ac:dyDescent="0.3">
      <c r="A99" s="17" t="s">
        <v>235</v>
      </c>
      <c r="B99" s="21">
        <v>46225</v>
      </c>
      <c r="C99" s="17" t="s">
        <v>13</v>
      </c>
      <c r="D99" s="17" t="s">
        <v>14</v>
      </c>
      <c r="E99" s="17" t="s">
        <v>15</v>
      </c>
      <c r="F99" s="18">
        <v>100</v>
      </c>
      <c r="G99" s="18">
        <v>84</v>
      </c>
      <c r="H99" s="18">
        <v>16</v>
      </c>
      <c r="I99" s="19">
        <v>45</v>
      </c>
      <c r="J99" s="19">
        <v>44.14</v>
      </c>
      <c r="K99" s="17" t="s">
        <v>39</v>
      </c>
      <c r="L99" s="19">
        <f>Table2[[#This Row],[QTA_LOTTO]]*Table2[[#This Row],[COSTO_STD_UNITARIO]]</f>
        <v>4500</v>
      </c>
      <c r="M99" s="19">
        <f>Table2[[#This Row],[QTA_PRODOTTA_EFF]]*Table2[[#This Row],[COSTO_EFF_UNITARIO]]</f>
        <v>3707.76</v>
      </c>
      <c r="N99" s="19">
        <f>Table2[[#This Row],[TOT_EFF_COST (€)]]-Table2[[#This Row],[TOT_STD_COST (€)]]</f>
        <v>-792.23999999999978</v>
      </c>
      <c r="O99" s="28">
        <f>Table2[[#This Row],[QTA_SCARTO]]/Table2[[#This Row],[QTA_LOTTO]]</f>
        <v>0.16</v>
      </c>
      <c r="P99" s="19"/>
      <c r="Q99" s="19"/>
    </row>
    <row r="100" spans="1:17" x14ac:dyDescent="0.3">
      <c r="A100" s="17" t="s">
        <v>237</v>
      </c>
      <c r="B100" s="21">
        <v>46223</v>
      </c>
      <c r="C100" s="17" t="s">
        <v>28</v>
      </c>
      <c r="D100" s="17" t="s">
        <v>46</v>
      </c>
      <c r="E100" s="17" t="s">
        <v>47</v>
      </c>
      <c r="F100" s="18">
        <v>200</v>
      </c>
      <c r="G100" s="18">
        <f>CLEAN_Dump_Produzione!$F100-CLEAN_Dump_Produzione!$H100</f>
        <v>192</v>
      </c>
      <c r="H100" s="18">
        <v>8</v>
      </c>
      <c r="I100" s="19">
        <v>35</v>
      </c>
      <c r="J100" s="19">
        <v>39.15</v>
      </c>
      <c r="K100" s="17" t="s">
        <v>39</v>
      </c>
      <c r="L100" s="19">
        <f>Table2[[#This Row],[QTA_LOTTO]]*Table2[[#This Row],[COSTO_STD_UNITARIO]]</f>
        <v>7000</v>
      </c>
      <c r="M100" s="19">
        <f>Table2[[#This Row],[QTA_PRODOTTA_EFF]]*Table2[[#This Row],[COSTO_EFF_UNITARIO]]</f>
        <v>7516.7999999999993</v>
      </c>
      <c r="N100" s="19">
        <f>Table2[[#This Row],[TOT_EFF_COST (€)]]-Table2[[#This Row],[TOT_STD_COST (€)]]</f>
        <v>516.79999999999927</v>
      </c>
      <c r="O100" s="28">
        <f>Table2[[#This Row],[QTA_SCARTO]]/Table2[[#This Row],[QTA_LOTTO]]</f>
        <v>0.04</v>
      </c>
      <c r="P100" s="19"/>
      <c r="Q100" s="19"/>
    </row>
    <row r="101" spans="1:17" x14ac:dyDescent="0.3">
      <c r="A101" s="17" t="s">
        <v>239</v>
      </c>
      <c r="B101" s="21">
        <v>46321</v>
      </c>
      <c r="C101" s="17" t="s">
        <v>13</v>
      </c>
      <c r="D101" s="17" t="s">
        <v>89</v>
      </c>
      <c r="E101" s="17" t="s">
        <v>90</v>
      </c>
      <c r="F101" s="18">
        <v>200</v>
      </c>
      <c r="G101" s="18">
        <v>186</v>
      </c>
      <c r="H101" s="18">
        <v>14</v>
      </c>
      <c r="I101" s="19">
        <v>85</v>
      </c>
      <c r="J101" s="19">
        <v>91.4</v>
      </c>
      <c r="K101" s="17" t="s">
        <v>39</v>
      </c>
      <c r="L101" s="19">
        <f>Table2[[#This Row],[QTA_LOTTO]]*Table2[[#This Row],[COSTO_STD_UNITARIO]]</f>
        <v>17000</v>
      </c>
      <c r="M101" s="19">
        <f>Table2[[#This Row],[QTA_PRODOTTA_EFF]]*Table2[[#This Row],[COSTO_EFF_UNITARIO]]</f>
        <v>17000.400000000001</v>
      </c>
      <c r="N101" s="19">
        <f>Table2[[#This Row],[TOT_EFF_COST (€)]]-Table2[[#This Row],[TOT_STD_COST (€)]]</f>
        <v>0.40000000000145519</v>
      </c>
      <c r="O101" s="28">
        <f>Table2[[#This Row],[QTA_SCARTO]]/Table2[[#This Row],[QTA_LOTTO]]</f>
        <v>7.0000000000000007E-2</v>
      </c>
      <c r="P101" s="19"/>
      <c r="Q101" s="19"/>
    </row>
    <row r="102" spans="1:17" x14ac:dyDescent="0.3">
      <c r="A102" s="17" t="s">
        <v>241</v>
      </c>
      <c r="B102" s="21">
        <v>46272</v>
      </c>
      <c r="C102" s="17" t="s">
        <v>28</v>
      </c>
      <c r="D102" s="17" t="s">
        <v>89</v>
      </c>
      <c r="E102" s="17" t="s">
        <v>90</v>
      </c>
      <c r="F102" s="18">
        <v>500</v>
      </c>
      <c r="G102" s="18">
        <v>495</v>
      </c>
      <c r="H102" s="18">
        <v>5</v>
      </c>
      <c r="I102" s="19">
        <v>85</v>
      </c>
      <c r="J102" s="19">
        <v>90.34</v>
      </c>
      <c r="K102" s="17" t="s">
        <v>22</v>
      </c>
      <c r="L102" s="19">
        <f>Table2[[#This Row],[QTA_LOTTO]]*Table2[[#This Row],[COSTO_STD_UNITARIO]]</f>
        <v>42500</v>
      </c>
      <c r="M102" s="19">
        <f>Table2[[#This Row],[QTA_PRODOTTA_EFF]]*Table2[[#This Row],[COSTO_EFF_UNITARIO]]</f>
        <v>44718.3</v>
      </c>
      <c r="N102" s="19">
        <f>Table2[[#This Row],[TOT_EFF_COST (€)]]-Table2[[#This Row],[TOT_STD_COST (€)]]</f>
        <v>2218.3000000000029</v>
      </c>
      <c r="O102" s="28">
        <f>Table2[[#This Row],[QTA_SCARTO]]/Table2[[#This Row],[QTA_LOTTO]]</f>
        <v>0.01</v>
      </c>
      <c r="P102" s="19"/>
      <c r="Q102" s="19"/>
    </row>
    <row r="103" spans="1:17" x14ac:dyDescent="0.3">
      <c r="A103" s="17" t="s">
        <v>243</v>
      </c>
      <c r="B103" s="21">
        <v>46271</v>
      </c>
      <c r="C103" s="17" t="s">
        <v>28</v>
      </c>
      <c r="D103" s="17" t="s">
        <v>46</v>
      </c>
      <c r="E103" s="17" t="s">
        <v>47</v>
      </c>
      <c r="F103" s="18">
        <v>250</v>
      </c>
      <c r="G103" s="18">
        <v>226</v>
      </c>
      <c r="H103" s="18">
        <v>24</v>
      </c>
      <c r="I103" s="19">
        <v>35</v>
      </c>
      <c r="J103" s="19">
        <v>37.71</v>
      </c>
      <c r="K103" s="17" t="s">
        <v>16</v>
      </c>
      <c r="L103" s="19">
        <f>Table2[[#This Row],[QTA_LOTTO]]*Table2[[#This Row],[COSTO_STD_UNITARIO]]</f>
        <v>8750</v>
      </c>
      <c r="M103" s="19">
        <f>Table2[[#This Row],[QTA_PRODOTTA_EFF]]*Table2[[#This Row],[COSTO_EFF_UNITARIO]]</f>
        <v>8522.4600000000009</v>
      </c>
      <c r="N103" s="19">
        <f>Table2[[#This Row],[TOT_EFF_COST (€)]]-Table2[[#This Row],[TOT_STD_COST (€)]]</f>
        <v>-227.53999999999905</v>
      </c>
      <c r="O103" s="28">
        <f>Table2[[#This Row],[QTA_SCARTO]]/Table2[[#This Row],[QTA_LOTTO]]</f>
        <v>9.6000000000000002E-2</v>
      </c>
      <c r="P103" s="19"/>
      <c r="Q103" s="19"/>
    </row>
    <row r="104" spans="1:17" x14ac:dyDescent="0.3">
      <c r="A104" s="17" t="s">
        <v>245</v>
      </c>
      <c r="B104" s="21">
        <v>46275</v>
      </c>
      <c r="C104" s="17" t="s">
        <v>13</v>
      </c>
      <c r="D104" s="17" t="s">
        <v>20</v>
      </c>
      <c r="E104" s="17" t="s">
        <v>21</v>
      </c>
      <c r="F104" s="18">
        <v>100</v>
      </c>
      <c r="G104" s="18">
        <v>90</v>
      </c>
      <c r="H104" s="18">
        <v>10</v>
      </c>
      <c r="I104" s="19">
        <v>120</v>
      </c>
      <c r="J104" s="19">
        <v>114.13</v>
      </c>
      <c r="K104" s="17" t="s">
        <v>16</v>
      </c>
      <c r="L104" s="19">
        <f>Table2[[#This Row],[QTA_LOTTO]]*Table2[[#This Row],[COSTO_STD_UNITARIO]]</f>
        <v>12000</v>
      </c>
      <c r="M104" s="19">
        <f>Table2[[#This Row],[QTA_PRODOTTA_EFF]]*Table2[[#This Row],[COSTO_EFF_UNITARIO]]</f>
        <v>10271.699999999999</v>
      </c>
      <c r="N104" s="19">
        <f>Table2[[#This Row],[TOT_EFF_COST (€)]]-Table2[[#This Row],[TOT_STD_COST (€)]]</f>
        <v>-1728.3000000000011</v>
      </c>
      <c r="O104" s="28">
        <f>Table2[[#This Row],[QTA_SCARTO]]/Table2[[#This Row],[QTA_LOTTO]]</f>
        <v>0.1</v>
      </c>
      <c r="P104" s="19"/>
      <c r="Q104" s="19"/>
    </row>
    <row r="105" spans="1:17" x14ac:dyDescent="0.3">
      <c r="A105" s="17" t="s">
        <v>247</v>
      </c>
      <c r="B105" s="21">
        <v>46237</v>
      </c>
      <c r="C105" s="17" t="s">
        <v>13</v>
      </c>
      <c r="D105" s="17" t="s">
        <v>89</v>
      </c>
      <c r="E105" s="17" t="s">
        <v>90</v>
      </c>
      <c r="F105" s="18">
        <v>1000</v>
      </c>
      <c r="G105" s="18">
        <v>992</v>
      </c>
      <c r="H105" s="18">
        <v>8</v>
      </c>
      <c r="I105" s="19">
        <v>85</v>
      </c>
      <c r="J105" s="19">
        <v>89.97</v>
      </c>
      <c r="K105" s="17" t="s">
        <v>55</v>
      </c>
      <c r="L105" s="19">
        <f>Table2[[#This Row],[QTA_LOTTO]]*Table2[[#This Row],[COSTO_STD_UNITARIO]]</f>
        <v>85000</v>
      </c>
      <c r="M105" s="19">
        <f>Table2[[#This Row],[QTA_PRODOTTA_EFF]]*Table2[[#This Row],[COSTO_EFF_UNITARIO]]</f>
        <v>89250.240000000005</v>
      </c>
      <c r="N105" s="19">
        <f>Table2[[#This Row],[TOT_EFF_COST (€)]]-Table2[[#This Row],[TOT_STD_COST (€)]]</f>
        <v>4250.2400000000052</v>
      </c>
      <c r="O105" s="28">
        <f>Table2[[#This Row],[QTA_SCARTO]]/Table2[[#This Row],[QTA_LOTTO]]</f>
        <v>8.0000000000000002E-3</v>
      </c>
      <c r="P105" s="19"/>
      <c r="Q105" s="19"/>
    </row>
    <row r="106" spans="1:17" x14ac:dyDescent="0.3">
      <c r="A106" s="17" t="s">
        <v>249</v>
      </c>
      <c r="B106" s="21">
        <v>46300</v>
      </c>
      <c r="C106" s="17" t="s">
        <v>28</v>
      </c>
      <c r="D106" s="17" t="s">
        <v>34</v>
      </c>
      <c r="E106" s="17" t="s">
        <v>35</v>
      </c>
      <c r="F106" s="18">
        <v>1000</v>
      </c>
      <c r="G106" s="18">
        <v>979</v>
      </c>
      <c r="H106" s="18">
        <v>21</v>
      </c>
      <c r="I106" s="19">
        <v>210</v>
      </c>
      <c r="J106" s="19">
        <v>204.7</v>
      </c>
      <c r="K106" s="17" t="s">
        <v>16</v>
      </c>
      <c r="L106" s="19">
        <f>Table2[[#This Row],[QTA_LOTTO]]*Table2[[#This Row],[COSTO_STD_UNITARIO]]</f>
        <v>210000</v>
      </c>
      <c r="M106" s="19">
        <f>Table2[[#This Row],[QTA_PRODOTTA_EFF]]*Table2[[#This Row],[COSTO_EFF_UNITARIO]]</f>
        <v>200401.3</v>
      </c>
      <c r="N106" s="19">
        <f>Table2[[#This Row],[TOT_EFF_COST (€)]]-Table2[[#This Row],[TOT_STD_COST (€)]]</f>
        <v>-9598.7000000000116</v>
      </c>
      <c r="O106" s="28">
        <f>Table2[[#This Row],[QTA_SCARTO]]/Table2[[#This Row],[QTA_LOTTO]]</f>
        <v>2.1000000000000001E-2</v>
      </c>
      <c r="P106" s="19"/>
      <c r="Q106" s="19"/>
    </row>
    <row r="107" spans="1:17" x14ac:dyDescent="0.3">
      <c r="A107" s="17" t="s">
        <v>251</v>
      </c>
      <c r="B107" s="21">
        <v>46277</v>
      </c>
      <c r="C107" s="17" t="s">
        <v>28</v>
      </c>
      <c r="D107" s="17" t="s">
        <v>20</v>
      </c>
      <c r="E107" s="17" t="s">
        <v>21</v>
      </c>
      <c r="F107" s="18">
        <v>1000</v>
      </c>
      <c r="G107" s="18">
        <v>996</v>
      </c>
      <c r="H107" s="18">
        <v>4</v>
      </c>
      <c r="I107" s="19">
        <v>120</v>
      </c>
      <c r="J107" s="19">
        <v>116.32</v>
      </c>
      <c r="K107" s="17" t="s">
        <v>16</v>
      </c>
      <c r="L107" s="19">
        <f>Table2[[#This Row],[QTA_LOTTO]]*Table2[[#This Row],[COSTO_STD_UNITARIO]]</f>
        <v>120000</v>
      </c>
      <c r="M107" s="19">
        <f>Table2[[#This Row],[QTA_PRODOTTA_EFF]]*Table2[[#This Row],[COSTO_EFF_UNITARIO]]</f>
        <v>115854.71999999999</v>
      </c>
      <c r="N107" s="19">
        <f>Table2[[#This Row],[TOT_EFF_COST (€)]]-Table2[[#This Row],[TOT_STD_COST (€)]]</f>
        <v>-4145.2800000000134</v>
      </c>
      <c r="O107" s="28">
        <f>Table2[[#This Row],[QTA_SCARTO]]/Table2[[#This Row],[QTA_LOTTO]]</f>
        <v>4.0000000000000001E-3</v>
      </c>
      <c r="P107" s="19"/>
      <c r="Q107" s="19"/>
    </row>
    <row r="108" spans="1:17" x14ac:dyDescent="0.3">
      <c r="A108" s="17" t="s">
        <v>104</v>
      </c>
      <c r="B108" s="21">
        <v>46239</v>
      </c>
      <c r="C108" s="17" t="s">
        <v>13</v>
      </c>
      <c r="D108" s="17" t="s">
        <v>20</v>
      </c>
      <c r="E108" s="17" t="s">
        <v>21</v>
      </c>
      <c r="F108" s="18">
        <v>200</v>
      </c>
      <c r="G108" s="18">
        <v>177</v>
      </c>
      <c r="H108" s="18">
        <v>23</v>
      </c>
      <c r="I108" s="19">
        <v>120</v>
      </c>
      <c r="J108" s="19">
        <v>117.25</v>
      </c>
      <c r="K108" s="17" t="s">
        <v>25</v>
      </c>
      <c r="L108" s="19">
        <f>Table2[[#This Row],[QTA_LOTTO]]*Table2[[#This Row],[COSTO_STD_UNITARIO]]</f>
        <v>24000</v>
      </c>
      <c r="M108" s="19">
        <f>Table2[[#This Row],[QTA_PRODOTTA_EFF]]*Table2[[#This Row],[COSTO_EFF_UNITARIO]]</f>
        <v>20753.25</v>
      </c>
      <c r="N108" s="19">
        <f>Table2[[#This Row],[TOT_EFF_COST (€)]]-Table2[[#This Row],[TOT_STD_COST (€)]]</f>
        <v>-3246.75</v>
      </c>
      <c r="O108" s="28">
        <f>Table2[[#This Row],[QTA_SCARTO]]/Table2[[#This Row],[QTA_LOTTO]]</f>
        <v>0.115</v>
      </c>
      <c r="P108" s="19"/>
      <c r="Q108" s="19"/>
    </row>
    <row r="109" spans="1:17" x14ac:dyDescent="0.3">
      <c r="A109" s="17" t="s">
        <v>257</v>
      </c>
      <c r="B109" s="21">
        <v>46335</v>
      </c>
      <c r="C109" s="17" t="s">
        <v>28</v>
      </c>
      <c r="D109" s="17" t="s">
        <v>42</v>
      </c>
      <c r="E109" s="17" t="s">
        <v>43</v>
      </c>
      <c r="F109" s="18">
        <v>150</v>
      </c>
      <c r="G109" s="18">
        <v>131</v>
      </c>
      <c r="H109" s="18">
        <v>19</v>
      </c>
      <c r="I109" s="19">
        <v>150</v>
      </c>
      <c r="J109" s="19">
        <v>146.32</v>
      </c>
      <c r="K109" s="17" t="s">
        <v>22</v>
      </c>
      <c r="L109" s="19">
        <f>Table2[[#This Row],[QTA_LOTTO]]*Table2[[#This Row],[COSTO_STD_UNITARIO]]</f>
        <v>22500</v>
      </c>
      <c r="M109" s="19">
        <f>Table2[[#This Row],[QTA_PRODOTTA_EFF]]*Table2[[#This Row],[COSTO_EFF_UNITARIO]]</f>
        <v>19167.919999999998</v>
      </c>
      <c r="N109" s="19">
        <f>Table2[[#This Row],[TOT_EFF_COST (€)]]-Table2[[#This Row],[TOT_STD_COST (€)]]</f>
        <v>-3332.0800000000017</v>
      </c>
      <c r="O109" s="28">
        <f>Table2[[#This Row],[QTA_SCARTO]]/Table2[[#This Row],[QTA_LOTTO]]</f>
        <v>0.12666666666666668</v>
      </c>
      <c r="P109" s="19"/>
      <c r="Q109" s="19"/>
    </row>
    <row r="110" spans="1:17" x14ac:dyDescent="0.3">
      <c r="A110" s="17" t="s">
        <v>259</v>
      </c>
      <c r="B110" s="21">
        <v>46243</v>
      </c>
      <c r="C110" s="17" t="s">
        <v>13</v>
      </c>
      <c r="D110" s="17" t="s">
        <v>89</v>
      </c>
      <c r="E110" s="17" t="s">
        <v>90</v>
      </c>
      <c r="F110" s="18">
        <v>300</v>
      </c>
      <c r="G110" s="18">
        <v>295</v>
      </c>
      <c r="H110" s="18">
        <v>5</v>
      </c>
      <c r="I110" s="19">
        <v>85</v>
      </c>
      <c r="J110" s="19">
        <v>90.29</v>
      </c>
      <c r="K110" s="17" t="s">
        <v>25</v>
      </c>
      <c r="L110" s="19">
        <f>Table2[[#This Row],[QTA_LOTTO]]*Table2[[#This Row],[COSTO_STD_UNITARIO]]</f>
        <v>25500</v>
      </c>
      <c r="M110" s="19">
        <f>Table2[[#This Row],[QTA_PRODOTTA_EFF]]*Table2[[#This Row],[COSTO_EFF_UNITARIO]]</f>
        <v>26635.550000000003</v>
      </c>
      <c r="N110" s="19">
        <f>Table2[[#This Row],[TOT_EFF_COST (€)]]-Table2[[#This Row],[TOT_STD_COST (€)]]</f>
        <v>1135.5500000000029</v>
      </c>
      <c r="O110" s="28">
        <f>Table2[[#This Row],[QTA_SCARTO]]/Table2[[#This Row],[QTA_LOTTO]]</f>
        <v>1.6666666666666666E-2</v>
      </c>
      <c r="P110" s="19"/>
      <c r="Q110" s="19"/>
    </row>
    <row r="111" spans="1:17" x14ac:dyDescent="0.3">
      <c r="A111" s="17" t="s">
        <v>260</v>
      </c>
      <c r="B111" s="21">
        <v>46283</v>
      </c>
      <c r="C111" s="17" t="s">
        <v>28</v>
      </c>
      <c r="D111" s="17" t="s">
        <v>46</v>
      </c>
      <c r="E111" s="17" t="s">
        <v>47</v>
      </c>
      <c r="F111" s="18">
        <v>200</v>
      </c>
      <c r="G111" s="18">
        <v>188</v>
      </c>
      <c r="H111" s="18">
        <v>12</v>
      </c>
      <c r="I111" s="19">
        <v>35</v>
      </c>
      <c r="J111" s="19">
        <v>39.229999999999997</v>
      </c>
      <c r="K111" s="17" t="s">
        <v>25</v>
      </c>
      <c r="L111" s="19">
        <f>Table2[[#This Row],[QTA_LOTTO]]*Table2[[#This Row],[COSTO_STD_UNITARIO]]</f>
        <v>7000</v>
      </c>
      <c r="M111" s="19">
        <f>Table2[[#This Row],[QTA_PRODOTTA_EFF]]*Table2[[#This Row],[COSTO_EFF_UNITARIO]]</f>
        <v>7375.24</v>
      </c>
      <c r="N111" s="19">
        <f>Table2[[#This Row],[TOT_EFF_COST (€)]]-Table2[[#This Row],[TOT_STD_COST (€)]]</f>
        <v>375.23999999999978</v>
      </c>
      <c r="O111" s="28">
        <f>Table2[[#This Row],[QTA_SCARTO]]/Table2[[#This Row],[QTA_LOTTO]]</f>
        <v>0.06</v>
      </c>
      <c r="P111" s="19"/>
      <c r="Q111" s="19"/>
    </row>
    <row r="112" spans="1:17" x14ac:dyDescent="0.3">
      <c r="A112" s="17" t="s">
        <v>262</v>
      </c>
      <c r="B112" s="21">
        <v>46323</v>
      </c>
      <c r="C112" s="17" t="s">
        <v>38</v>
      </c>
      <c r="D112" s="17" t="s">
        <v>42</v>
      </c>
      <c r="E112" s="17" t="s">
        <v>43</v>
      </c>
      <c r="F112" s="18">
        <v>1000</v>
      </c>
      <c r="G112" s="18">
        <v>979</v>
      </c>
      <c r="H112" s="18">
        <v>21</v>
      </c>
      <c r="I112" s="19">
        <v>150</v>
      </c>
      <c r="J112" s="19">
        <v>147.77000000000001</v>
      </c>
      <c r="K112" s="17" t="s">
        <v>25</v>
      </c>
      <c r="L112" s="19">
        <f>Table2[[#This Row],[QTA_LOTTO]]*Table2[[#This Row],[COSTO_STD_UNITARIO]]</f>
        <v>150000</v>
      </c>
      <c r="M112" s="19">
        <f>Table2[[#This Row],[QTA_PRODOTTA_EFF]]*Table2[[#This Row],[COSTO_EFF_UNITARIO]]</f>
        <v>144666.83000000002</v>
      </c>
      <c r="N112" s="19">
        <f>Table2[[#This Row],[TOT_EFF_COST (€)]]-Table2[[#This Row],[TOT_STD_COST (€)]]</f>
        <v>-5333.1699999999837</v>
      </c>
      <c r="O112" s="28">
        <f>Table2[[#This Row],[QTA_SCARTO]]/Table2[[#This Row],[QTA_LOTTO]]</f>
        <v>2.1000000000000001E-2</v>
      </c>
      <c r="P112" s="19"/>
      <c r="Q112" s="19"/>
    </row>
    <row r="113" spans="1:17" x14ac:dyDescent="0.3">
      <c r="A113" s="17" t="s">
        <v>264</v>
      </c>
      <c r="B113" s="21">
        <v>46350</v>
      </c>
      <c r="C113" s="17" t="s">
        <v>13</v>
      </c>
      <c r="D113" s="17" t="s">
        <v>14</v>
      </c>
      <c r="E113" s="17" t="s">
        <v>15</v>
      </c>
      <c r="F113" s="18">
        <v>150</v>
      </c>
      <c r="G113" s="18">
        <v>128</v>
      </c>
      <c r="H113" s="18">
        <v>22</v>
      </c>
      <c r="I113" s="19">
        <v>45</v>
      </c>
      <c r="J113" s="19">
        <v>44.54</v>
      </c>
      <c r="K113" s="17" t="s">
        <v>55</v>
      </c>
      <c r="L113" s="19">
        <f>Table2[[#This Row],[QTA_LOTTO]]*Table2[[#This Row],[COSTO_STD_UNITARIO]]</f>
        <v>6750</v>
      </c>
      <c r="M113" s="19">
        <f>Table2[[#This Row],[QTA_PRODOTTA_EFF]]*Table2[[#This Row],[COSTO_EFF_UNITARIO]]</f>
        <v>5701.12</v>
      </c>
      <c r="N113" s="19">
        <f>Table2[[#This Row],[TOT_EFF_COST (€)]]-Table2[[#This Row],[TOT_STD_COST (€)]]</f>
        <v>-1048.8800000000001</v>
      </c>
      <c r="O113" s="28">
        <f>Table2[[#This Row],[QTA_SCARTO]]/Table2[[#This Row],[QTA_LOTTO]]</f>
        <v>0.14666666666666667</v>
      </c>
      <c r="P113" s="19"/>
      <c r="Q113" s="19"/>
    </row>
    <row r="114" spans="1:17" x14ac:dyDescent="0.3">
      <c r="A114" s="17" t="s">
        <v>266</v>
      </c>
      <c r="B114" s="21">
        <v>46255</v>
      </c>
      <c r="C114" s="17" t="s">
        <v>13</v>
      </c>
      <c r="D114" s="17" t="s">
        <v>34</v>
      </c>
      <c r="E114" s="17" t="s">
        <v>35</v>
      </c>
      <c r="F114" s="18">
        <v>500</v>
      </c>
      <c r="G114" s="18">
        <v>482</v>
      </c>
      <c r="H114" s="18">
        <v>18</v>
      </c>
      <c r="I114" s="19">
        <v>210</v>
      </c>
      <c r="J114" s="19">
        <v>203.56</v>
      </c>
      <c r="K114" s="17" t="s">
        <v>39</v>
      </c>
      <c r="L114" s="19">
        <f>Table2[[#This Row],[QTA_LOTTO]]*Table2[[#This Row],[COSTO_STD_UNITARIO]]</f>
        <v>105000</v>
      </c>
      <c r="M114" s="19">
        <f>Table2[[#This Row],[QTA_PRODOTTA_EFF]]*Table2[[#This Row],[COSTO_EFF_UNITARIO]]</f>
        <v>98115.92</v>
      </c>
      <c r="N114" s="19">
        <f>Table2[[#This Row],[TOT_EFF_COST (€)]]-Table2[[#This Row],[TOT_STD_COST (€)]]</f>
        <v>-6884.0800000000017</v>
      </c>
      <c r="O114" s="28">
        <f>Table2[[#This Row],[QTA_SCARTO]]/Table2[[#This Row],[QTA_LOTTO]]</f>
        <v>3.5999999999999997E-2</v>
      </c>
      <c r="P114" s="19"/>
      <c r="Q114" s="19"/>
    </row>
    <row r="115" spans="1:17" x14ac:dyDescent="0.3">
      <c r="A115" s="17" t="s">
        <v>268</v>
      </c>
      <c r="B115" s="21">
        <v>46265</v>
      </c>
      <c r="C115" s="17" t="s">
        <v>13</v>
      </c>
      <c r="D115" s="17" t="s">
        <v>20</v>
      </c>
      <c r="E115" s="17" t="s">
        <v>21</v>
      </c>
      <c r="F115" s="18">
        <v>200</v>
      </c>
      <c r="G115" s="18">
        <v>198</v>
      </c>
      <c r="H115" s="18">
        <v>2</v>
      </c>
      <c r="I115" s="19">
        <v>120</v>
      </c>
      <c r="J115" s="19">
        <v>113.68</v>
      </c>
      <c r="K115" s="17" t="s">
        <v>55</v>
      </c>
      <c r="L115" s="19">
        <f>Table2[[#This Row],[QTA_LOTTO]]*Table2[[#This Row],[COSTO_STD_UNITARIO]]</f>
        <v>24000</v>
      </c>
      <c r="M115" s="19">
        <f>Table2[[#This Row],[QTA_PRODOTTA_EFF]]*Table2[[#This Row],[COSTO_EFF_UNITARIO]]</f>
        <v>22508.640000000003</v>
      </c>
      <c r="N115" s="19">
        <f>Table2[[#This Row],[TOT_EFF_COST (€)]]-Table2[[#This Row],[TOT_STD_COST (€)]]</f>
        <v>-1491.3599999999969</v>
      </c>
      <c r="O115" s="28">
        <f>Table2[[#This Row],[QTA_SCARTO]]/Table2[[#This Row],[QTA_LOTTO]]</f>
        <v>0.01</v>
      </c>
      <c r="P115" s="19"/>
      <c r="Q115" s="19"/>
    </row>
    <row r="116" spans="1:17" x14ac:dyDescent="0.3">
      <c r="A116" s="17" t="s">
        <v>270</v>
      </c>
      <c r="B116" s="21">
        <v>46232</v>
      </c>
      <c r="C116" s="17" t="s">
        <v>38</v>
      </c>
      <c r="D116" s="17" t="s">
        <v>29</v>
      </c>
      <c r="E116" s="17" t="s">
        <v>30</v>
      </c>
      <c r="F116" s="18">
        <v>300</v>
      </c>
      <c r="G116" s="18">
        <v>296</v>
      </c>
      <c r="H116" s="18">
        <v>4</v>
      </c>
      <c r="I116" s="19">
        <v>65</v>
      </c>
      <c r="J116" s="19">
        <v>60.57</v>
      </c>
      <c r="K116" s="17" t="s">
        <v>25</v>
      </c>
      <c r="L116" s="19">
        <f>Table2[[#This Row],[QTA_LOTTO]]*Table2[[#This Row],[COSTO_STD_UNITARIO]]</f>
        <v>19500</v>
      </c>
      <c r="M116" s="19">
        <f>Table2[[#This Row],[QTA_PRODOTTA_EFF]]*Table2[[#This Row],[COSTO_EFF_UNITARIO]]</f>
        <v>17928.72</v>
      </c>
      <c r="N116" s="19">
        <f>Table2[[#This Row],[TOT_EFF_COST (€)]]-Table2[[#This Row],[TOT_STD_COST (€)]]</f>
        <v>-1571.2799999999988</v>
      </c>
      <c r="O116" s="28">
        <f>Table2[[#This Row],[QTA_SCARTO]]/Table2[[#This Row],[QTA_LOTTO]]</f>
        <v>1.3333333333333334E-2</v>
      </c>
      <c r="P116" s="19"/>
      <c r="Q116" s="19"/>
    </row>
    <row r="117" spans="1:17" x14ac:dyDescent="0.3">
      <c r="A117" s="17" t="s">
        <v>272</v>
      </c>
      <c r="B117" s="21">
        <v>46240</v>
      </c>
      <c r="C117" s="17" t="s">
        <v>28</v>
      </c>
      <c r="D117" s="17" t="s">
        <v>58</v>
      </c>
      <c r="E117" s="17" t="s">
        <v>59</v>
      </c>
      <c r="F117" s="18">
        <v>300</v>
      </c>
      <c r="G117" s="18">
        <v>287</v>
      </c>
      <c r="H117" s="18">
        <v>13</v>
      </c>
      <c r="I117" s="19">
        <v>340</v>
      </c>
      <c r="J117" s="19">
        <v>353.07</v>
      </c>
      <c r="K117" s="17" t="s">
        <v>16</v>
      </c>
      <c r="L117" s="19">
        <f>Table2[[#This Row],[QTA_LOTTO]]*Table2[[#This Row],[COSTO_STD_UNITARIO]]</f>
        <v>102000</v>
      </c>
      <c r="M117" s="19">
        <f>Table2[[#This Row],[QTA_PRODOTTA_EFF]]*Table2[[#This Row],[COSTO_EFF_UNITARIO]]</f>
        <v>101331.09</v>
      </c>
      <c r="N117" s="19">
        <f>Table2[[#This Row],[TOT_EFF_COST (€)]]-Table2[[#This Row],[TOT_STD_COST (€)]]</f>
        <v>-668.91000000000349</v>
      </c>
      <c r="O117" s="28">
        <f>Table2[[#This Row],[QTA_SCARTO]]/Table2[[#This Row],[QTA_LOTTO]]</f>
        <v>4.3333333333333335E-2</v>
      </c>
      <c r="P117" s="19"/>
      <c r="Q117" s="19"/>
    </row>
    <row r="118" spans="1:17" x14ac:dyDescent="0.3">
      <c r="A118" s="17" t="s">
        <v>274</v>
      </c>
      <c r="B118" s="21">
        <v>46322</v>
      </c>
      <c r="C118" s="17" t="s">
        <v>28</v>
      </c>
      <c r="D118" s="17" t="s">
        <v>42</v>
      </c>
      <c r="E118" s="17" t="s">
        <v>43</v>
      </c>
      <c r="F118" s="18">
        <v>200</v>
      </c>
      <c r="G118" s="18">
        <v>191</v>
      </c>
      <c r="H118" s="18">
        <v>9</v>
      </c>
      <c r="I118" s="19">
        <v>150</v>
      </c>
      <c r="J118" s="19">
        <v>148.38</v>
      </c>
      <c r="K118" s="17" t="s">
        <v>55</v>
      </c>
      <c r="L118" s="19">
        <f>Table2[[#This Row],[QTA_LOTTO]]*Table2[[#This Row],[COSTO_STD_UNITARIO]]</f>
        <v>30000</v>
      </c>
      <c r="M118" s="19">
        <f>Table2[[#This Row],[QTA_PRODOTTA_EFF]]*Table2[[#This Row],[COSTO_EFF_UNITARIO]]</f>
        <v>28340.579999999998</v>
      </c>
      <c r="N118" s="19">
        <f>Table2[[#This Row],[TOT_EFF_COST (€)]]-Table2[[#This Row],[TOT_STD_COST (€)]]</f>
        <v>-1659.4200000000019</v>
      </c>
      <c r="O118" s="28">
        <f>Table2[[#This Row],[QTA_SCARTO]]/Table2[[#This Row],[QTA_LOTTO]]</f>
        <v>4.4999999999999998E-2</v>
      </c>
      <c r="P118" s="19"/>
      <c r="Q118" s="19"/>
    </row>
    <row r="119" spans="1:17" x14ac:dyDescent="0.3">
      <c r="A119" s="17" t="s">
        <v>275</v>
      </c>
      <c r="B119" s="21">
        <v>46327</v>
      </c>
      <c r="C119" s="17" t="s">
        <v>28</v>
      </c>
      <c r="D119" s="17" t="s">
        <v>46</v>
      </c>
      <c r="E119" s="17" t="s">
        <v>47</v>
      </c>
      <c r="F119" s="18">
        <v>1000</v>
      </c>
      <c r="G119" s="18">
        <v>982</v>
      </c>
      <c r="H119" s="18">
        <v>18</v>
      </c>
      <c r="I119" s="19">
        <v>35</v>
      </c>
      <c r="J119" s="19">
        <v>37.08</v>
      </c>
      <c r="K119" s="17" t="s">
        <v>395</v>
      </c>
      <c r="L119" s="19">
        <f>Table2[[#This Row],[QTA_LOTTO]]*Table2[[#This Row],[COSTO_STD_UNITARIO]]</f>
        <v>35000</v>
      </c>
      <c r="M119" s="19">
        <f>Table2[[#This Row],[QTA_PRODOTTA_EFF]]*Table2[[#This Row],[COSTO_EFF_UNITARIO]]</f>
        <v>36412.559999999998</v>
      </c>
      <c r="N119" s="19">
        <f>Table2[[#This Row],[TOT_EFF_COST (€)]]-Table2[[#This Row],[TOT_STD_COST (€)]]</f>
        <v>1412.5599999999977</v>
      </c>
      <c r="O119" s="28">
        <f>Table2[[#This Row],[QTA_SCARTO]]/Table2[[#This Row],[QTA_LOTTO]]</f>
        <v>1.7999999999999999E-2</v>
      </c>
      <c r="P119" s="19"/>
      <c r="Q119" s="19"/>
    </row>
    <row r="120" spans="1:17" x14ac:dyDescent="0.3">
      <c r="A120" s="17" t="s">
        <v>277</v>
      </c>
      <c r="B120" s="21">
        <v>46256</v>
      </c>
      <c r="C120" s="17" t="s">
        <v>38</v>
      </c>
      <c r="D120" s="17" t="s">
        <v>34</v>
      </c>
      <c r="E120" s="17" t="s">
        <v>35</v>
      </c>
      <c r="F120" s="18">
        <v>100</v>
      </c>
      <c r="G120" s="18">
        <v>87</v>
      </c>
      <c r="H120" s="18">
        <v>13</v>
      </c>
      <c r="I120" s="19">
        <v>210</v>
      </c>
      <c r="J120" s="19">
        <v>208.05</v>
      </c>
      <c r="K120" s="17" t="s">
        <v>22</v>
      </c>
      <c r="L120" s="19">
        <f>Table2[[#This Row],[QTA_LOTTO]]*Table2[[#This Row],[COSTO_STD_UNITARIO]]</f>
        <v>21000</v>
      </c>
      <c r="M120" s="19">
        <f>Table2[[#This Row],[QTA_PRODOTTA_EFF]]*Table2[[#This Row],[COSTO_EFF_UNITARIO]]</f>
        <v>18100.350000000002</v>
      </c>
      <c r="N120" s="19">
        <f>Table2[[#This Row],[TOT_EFF_COST (€)]]-Table2[[#This Row],[TOT_STD_COST (€)]]</f>
        <v>-2899.6499999999978</v>
      </c>
      <c r="O120" s="28">
        <f>Table2[[#This Row],[QTA_SCARTO]]/Table2[[#This Row],[QTA_LOTTO]]</f>
        <v>0.13</v>
      </c>
      <c r="P120" s="19"/>
      <c r="Q120" s="19"/>
    </row>
    <row r="121" spans="1:17" x14ac:dyDescent="0.3">
      <c r="A121" s="17" t="s">
        <v>279</v>
      </c>
      <c r="B121" s="21">
        <v>46311</v>
      </c>
      <c r="C121" s="17" t="s">
        <v>13</v>
      </c>
      <c r="D121" s="17" t="s">
        <v>29</v>
      </c>
      <c r="E121" s="17" t="s">
        <v>30</v>
      </c>
      <c r="F121" s="18">
        <v>100</v>
      </c>
      <c r="G121" s="18">
        <v>88</v>
      </c>
      <c r="H121" s="18">
        <v>12</v>
      </c>
      <c r="I121" s="19">
        <v>65</v>
      </c>
      <c r="J121" s="19">
        <v>62.94</v>
      </c>
      <c r="K121" s="17" t="s">
        <v>55</v>
      </c>
      <c r="L121" s="19">
        <f>Table2[[#This Row],[QTA_LOTTO]]*Table2[[#This Row],[COSTO_STD_UNITARIO]]</f>
        <v>6500</v>
      </c>
      <c r="M121" s="19">
        <f>Table2[[#This Row],[QTA_PRODOTTA_EFF]]*Table2[[#This Row],[COSTO_EFF_UNITARIO]]</f>
        <v>5538.7199999999993</v>
      </c>
      <c r="N121" s="19">
        <f>Table2[[#This Row],[TOT_EFF_COST (€)]]-Table2[[#This Row],[TOT_STD_COST (€)]]</f>
        <v>-961.28000000000065</v>
      </c>
      <c r="O121" s="28">
        <f>Table2[[#This Row],[QTA_SCARTO]]/Table2[[#This Row],[QTA_LOTTO]]</f>
        <v>0.12</v>
      </c>
      <c r="P121" s="19"/>
      <c r="Q121" s="19"/>
    </row>
    <row r="122" spans="1:17" x14ac:dyDescent="0.3">
      <c r="A122" s="17" t="s">
        <v>281</v>
      </c>
      <c r="B122" s="21">
        <v>46206</v>
      </c>
      <c r="C122" s="17" t="s">
        <v>38</v>
      </c>
      <c r="D122" s="17" t="s">
        <v>20</v>
      </c>
      <c r="E122" s="17" t="s">
        <v>21</v>
      </c>
      <c r="F122" s="18">
        <v>150</v>
      </c>
      <c r="G122" s="18">
        <v>134</v>
      </c>
      <c r="H122" s="18">
        <v>16</v>
      </c>
      <c r="I122" s="19">
        <v>120</v>
      </c>
      <c r="J122" s="19">
        <v>116.93</v>
      </c>
      <c r="K122" s="17" t="s">
        <v>22</v>
      </c>
      <c r="L122" s="19">
        <f>Table2[[#This Row],[QTA_LOTTO]]*Table2[[#This Row],[COSTO_STD_UNITARIO]]</f>
        <v>18000</v>
      </c>
      <c r="M122" s="19">
        <f>Table2[[#This Row],[QTA_PRODOTTA_EFF]]*Table2[[#This Row],[COSTO_EFF_UNITARIO]]</f>
        <v>15668.62</v>
      </c>
      <c r="N122" s="19">
        <f>Table2[[#This Row],[TOT_EFF_COST (€)]]-Table2[[#This Row],[TOT_STD_COST (€)]]</f>
        <v>-2331.3799999999992</v>
      </c>
      <c r="O122" s="28">
        <f>Table2[[#This Row],[QTA_SCARTO]]/Table2[[#This Row],[QTA_LOTTO]]</f>
        <v>0.10666666666666667</v>
      </c>
      <c r="P122" s="19"/>
      <c r="Q122" s="19"/>
    </row>
    <row r="123" spans="1:17" x14ac:dyDescent="0.3">
      <c r="A123" s="17" t="s">
        <v>253</v>
      </c>
      <c r="B123" s="21">
        <v>46269</v>
      </c>
      <c r="C123" s="17" t="s">
        <v>13</v>
      </c>
      <c r="D123" s="17" t="s">
        <v>34</v>
      </c>
      <c r="E123" s="17" t="s">
        <v>35</v>
      </c>
      <c r="F123" s="18">
        <v>100</v>
      </c>
      <c r="G123" s="18">
        <v>93</v>
      </c>
      <c r="H123" s="18">
        <v>7</v>
      </c>
      <c r="I123" s="19">
        <v>210</v>
      </c>
      <c r="J123" s="19">
        <v>207.61</v>
      </c>
      <c r="K123" s="17" t="s">
        <v>22</v>
      </c>
      <c r="L123" s="19">
        <f>Table2[[#This Row],[QTA_LOTTO]]*Table2[[#This Row],[COSTO_STD_UNITARIO]]</f>
        <v>21000</v>
      </c>
      <c r="M123" s="19">
        <f>Table2[[#This Row],[QTA_PRODOTTA_EFF]]*Table2[[#This Row],[COSTO_EFF_UNITARIO]]</f>
        <v>19307.73</v>
      </c>
      <c r="N123" s="19">
        <f>Table2[[#This Row],[TOT_EFF_COST (€)]]-Table2[[#This Row],[TOT_STD_COST (€)]]</f>
        <v>-1692.2700000000004</v>
      </c>
      <c r="O123" s="28">
        <f>Table2[[#This Row],[QTA_SCARTO]]/Table2[[#This Row],[QTA_LOTTO]]</f>
        <v>7.0000000000000007E-2</v>
      </c>
      <c r="P123" s="19"/>
      <c r="Q123" s="19"/>
    </row>
    <row r="124" spans="1:17" x14ac:dyDescent="0.3">
      <c r="A124" s="17" t="s">
        <v>285</v>
      </c>
      <c r="B124" s="21">
        <v>46249</v>
      </c>
      <c r="C124" s="17" t="s">
        <v>28</v>
      </c>
      <c r="D124" s="17" t="s">
        <v>20</v>
      </c>
      <c r="E124" s="17" t="s">
        <v>21</v>
      </c>
      <c r="F124" s="18">
        <v>500</v>
      </c>
      <c r="G124" s="18">
        <v>484</v>
      </c>
      <c r="H124" s="18">
        <v>16</v>
      </c>
      <c r="I124" s="19">
        <v>120</v>
      </c>
      <c r="J124" s="19">
        <v>114.58</v>
      </c>
      <c r="K124" s="17" t="s">
        <v>39</v>
      </c>
      <c r="L124" s="19">
        <f>Table2[[#This Row],[QTA_LOTTO]]*Table2[[#This Row],[COSTO_STD_UNITARIO]]</f>
        <v>60000</v>
      </c>
      <c r="M124" s="19">
        <f>Table2[[#This Row],[QTA_PRODOTTA_EFF]]*Table2[[#This Row],[COSTO_EFF_UNITARIO]]</f>
        <v>55456.72</v>
      </c>
      <c r="N124" s="19">
        <f>Table2[[#This Row],[TOT_EFF_COST (€)]]-Table2[[#This Row],[TOT_STD_COST (€)]]</f>
        <v>-4543.2799999999988</v>
      </c>
      <c r="O124" s="28">
        <f>Table2[[#This Row],[QTA_SCARTO]]/Table2[[#This Row],[QTA_LOTTO]]</f>
        <v>3.2000000000000001E-2</v>
      </c>
      <c r="P124" s="19"/>
      <c r="Q124" s="19"/>
    </row>
    <row r="125" spans="1:17" x14ac:dyDescent="0.3">
      <c r="A125" s="17" t="s">
        <v>287</v>
      </c>
      <c r="B125" s="21">
        <v>46310</v>
      </c>
      <c r="C125" s="17" t="s">
        <v>13</v>
      </c>
      <c r="D125" s="17" t="s">
        <v>116</v>
      </c>
      <c r="E125" s="17" t="s">
        <v>117</v>
      </c>
      <c r="F125" s="18">
        <v>100</v>
      </c>
      <c r="G125" s="18">
        <v>95</v>
      </c>
      <c r="H125" s="18">
        <v>5</v>
      </c>
      <c r="I125" s="19">
        <v>28</v>
      </c>
      <c r="J125" s="19">
        <v>28.43</v>
      </c>
      <c r="K125" s="17" t="s">
        <v>39</v>
      </c>
      <c r="L125" s="19">
        <f>Table2[[#This Row],[QTA_LOTTO]]*Table2[[#This Row],[COSTO_STD_UNITARIO]]</f>
        <v>2800</v>
      </c>
      <c r="M125" s="19">
        <f>Table2[[#This Row],[QTA_PRODOTTA_EFF]]*Table2[[#This Row],[COSTO_EFF_UNITARIO]]</f>
        <v>2700.85</v>
      </c>
      <c r="N125" s="19">
        <f>Table2[[#This Row],[TOT_EFF_COST (€)]]-Table2[[#This Row],[TOT_STD_COST (€)]]</f>
        <v>-99.150000000000091</v>
      </c>
      <c r="O125" s="28">
        <f>Table2[[#This Row],[QTA_SCARTO]]/Table2[[#This Row],[QTA_LOTTO]]</f>
        <v>0.05</v>
      </c>
      <c r="P125" s="19"/>
      <c r="Q125" s="19"/>
    </row>
    <row r="126" spans="1:17" x14ac:dyDescent="0.3">
      <c r="A126" s="17" t="s">
        <v>289</v>
      </c>
      <c r="B126" s="21">
        <v>46345</v>
      </c>
      <c r="C126" s="17" t="s">
        <v>28</v>
      </c>
      <c r="D126" s="17" t="s">
        <v>89</v>
      </c>
      <c r="E126" s="17" t="s">
        <v>90</v>
      </c>
      <c r="F126" s="18">
        <v>300</v>
      </c>
      <c r="G126" s="18">
        <v>291</v>
      </c>
      <c r="H126" s="18">
        <v>9</v>
      </c>
      <c r="I126" s="19">
        <v>85</v>
      </c>
      <c r="J126" s="19">
        <v>91.82</v>
      </c>
      <c r="K126" s="17" t="s">
        <v>39</v>
      </c>
      <c r="L126" s="19">
        <f>Table2[[#This Row],[QTA_LOTTO]]*Table2[[#This Row],[COSTO_STD_UNITARIO]]</f>
        <v>25500</v>
      </c>
      <c r="M126" s="19">
        <f>Table2[[#This Row],[QTA_PRODOTTA_EFF]]*Table2[[#This Row],[COSTO_EFF_UNITARIO]]</f>
        <v>26719.62</v>
      </c>
      <c r="N126" s="19">
        <f>Table2[[#This Row],[TOT_EFF_COST (€)]]-Table2[[#This Row],[TOT_STD_COST (€)]]</f>
        <v>1219.619999999999</v>
      </c>
      <c r="O126" s="28">
        <f>Table2[[#This Row],[QTA_SCARTO]]/Table2[[#This Row],[QTA_LOTTO]]</f>
        <v>0.03</v>
      </c>
      <c r="P126" s="19"/>
      <c r="Q126" s="19"/>
    </row>
    <row r="127" spans="1:17" x14ac:dyDescent="0.3">
      <c r="A127" s="17" t="s">
        <v>291</v>
      </c>
      <c r="B127" s="21">
        <v>46350</v>
      </c>
      <c r="C127" s="17" t="s">
        <v>28</v>
      </c>
      <c r="D127" s="17" t="s">
        <v>58</v>
      </c>
      <c r="E127" s="17" t="s">
        <v>59</v>
      </c>
      <c r="F127" s="18">
        <v>250</v>
      </c>
      <c r="G127" s="18">
        <v>246</v>
      </c>
      <c r="H127" s="18">
        <v>4</v>
      </c>
      <c r="I127" s="19">
        <v>340</v>
      </c>
      <c r="J127" s="19">
        <v>354.85</v>
      </c>
      <c r="K127" s="17" t="s">
        <v>22</v>
      </c>
      <c r="L127" s="19">
        <f>Table2[[#This Row],[QTA_LOTTO]]*Table2[[#This Row],[COSTO_STD_UNITARIO]]</f>
        <v>85000</v>
      </c>
      <c r="M127" s="19">
        <f>Table2[[#This Row],[QTA_PRODOTTA_EFF]]*Table2[[#This Row],[COSTO_EFF_UNITARIO]]</f>
        <v>87293.1</v>
      </c>
      <c r="N127" s="19">
        <f>Table2[[#This Row],[TOT_EFF_COST (€)]]-Table2[[#This Row],[TOT_STD_COST (€)]]</f>
        <v>2293.1000000000058</v>
      </c>
      <c r="O127" s="28">
        <f>Table2[[#This Row],[QTA_SCARTO]]/Table2[[#This Row],[QTA_LOTTO]]</f>
        <v>1.6E-2</v>
      </c>
      <c r="P127" s="19"/>
      <c r="Q127" s="19"/>
    </row>
    <row r="128" spans="1:17" x14ac:dyDescent="0.3">
      <c r="A128" s="17" t="s">
        <v>293</v>
      </c>
      <c r="B128" s="21">
        <v>46245</v>
      </c>
      <c r="C128" s="17" t="s">
        <v>38</v>
      </c>
      <c r="D128" s="17" t="s">
        <v>29</v>
      </c>
      <c r="E128" s="17" t="s">
        <v>30</v>
      </c>
      <c r="F128" s="18">
        <v>150</v>
      </c>
      <c r="G128" s="18">
        <v>146</v>
      </c>
      <c r="H128" s="18">
        <v>4</v>
      </c>
      <c r="I128" s="19">
        <v>65</v>
      </c>
      <c r="J128" s="19">
        <v>65.27</v>
      </c>
      <c r="K128" s="17" t="s">
        <v>55</v>
      </c>
      <c r="L128" s="19">
        <f>Table2[[#This Row],[QTA_LOTTO]]*Table2[[#This Row],[COSTO_STD_UNITARIO]]</f>
        <v>9750</v>
      </c>
      <c r="M128" s="19">
        <f>Table2[[#This Row],[QTA_PRODOTTA_EFF]]*Table2[[#This Row],[COSTO_EFF_UNITARIO]]</f>
        <v>9529.42</v>
      </c>
      <c r="N128" s="19">
        <f>Table2[[#This Row],[TOT_EFF_COST (€)]]-Table2[[#This Row],[TOT_STD_COST (€)]]</f>
        <v>-220.57999999999993</v>
      </c>
      <c r="O128" s="28">
        <f>Table2[[#This Row],[QTA_SCARTO]]/Table2[[#This Row],[QTA_LOTTO]]</f>
        <v>2.6666666666666668E-2</v>
      </c>
      <c r="P128" s="19"/>
      <c r="Q128" s="19"/>
    </row>
    <row r="129" spans="1:17" x14ac:dyDescent="0.3">
      <c r="A129" s="17" t="s">
        <v>295</v>
      </c>
      <c r="B129" s="21">
        <v>46271</v>
      </c>
      <c r="C129" s="17" t="s">
        <v>13</v>
      </c>
      <c r="D129" s="17" t="s">
        <v>89</v>
      </c>
      <c r="E129" s="17" t="s">
        <v>90</v>
      </c>
      <c r="F129" s="18">
        <v>300</v>
      </c>
      <c r="G129" s="18">
        <v>283</v>
      </c>
      <c r="H129" s="18">
        <v>17</v>
      </c>
      <c r="I129" s="19">
        <v>85</v>
      </c>
      <c r="J129" s="19">
        <v>88.25</v>
      </c>
      <c r="K129" s="17" t="s">
        <v>16</v>
      </c>
      <c r="L129" s="19">
        <f>Table2[[#This Row],[QTA_LOTTO]]*Table2[[#This Row],[COSTO_STD_UNITARIO]]</f>
        <v>25500</v>
      </c>
      <c r="M129" s="19">
        <f>Table2[[#This Row],[QTA_PRODOTTA_EFF]]*Table2[[#This Row],[COSTO_EFF_UNITARIO]]</f>
        <v>24974.75</v>
      </c>
      <c r="N129" s="19">
        <f>Table2[[#This Row],[TOT_EFF_COST (€)]]-Table2[[#This Row],[TOT_STD_COST (€)]]</f>
        <v>-525.25</v>
      </c>
      <c r="O129" s="28">
        <f>Table2[[#This Row],[QTA_SCARTO]]/Table2[[#This Row],[QTA_LOTTO]]</f>
        <v>5.6666666666666664E-2</v>
      </c>
      <c r="P129" s="19"/>
      <c r="Q129" s="19"/>
    </row>
    <row r="130" spans="1:17" x14ac:dyDescent="0.3">
      <c r="A130" s="17" t="s">
        <v>297</v>
      </c>
      <c r="B130" s="21">
        <v>46232</v>
      </c>
      <c r="C130" s="17" t="s">
        <v>28</v>
      </c>
      <c r="D130" s="17" t="s">
        <v>116</v>
      </c>
      <c r="E130" s="17" t="s">
        <v>117</v>
      </c>
      <c r="F130" s="18">
        <v>1000</v>
      </c>
      <c r="G130" s="18">
        <v>980</v>
      </c>
      <c r="H130" s="18">
        <v>20</v>
      </c>
      <c r="I130" s="19">
        <v>28</v>
      </c>
      <c r="J130" s="19">
        <v>27.45</v>
      </c>
      <c r="K130" s="17" t="s">
        <v>395</v>
      </c>
      <c r="L130" s="19">
        <f>Table2[[#This Row],[QTA_LOTTO]]*Table2[[#This Row],[COSTO_STD_UNITARIO]]</f>
        <v>28000</v>
      </c>
      <c r="M130" s="19">
        <f>Table2[[#This Row],[QTA_PRODOTTA_EFF]]*Table2[[#This Row],[COSTO_EFF_UNITARIO]]</f>
        <v>26901</v>
      </c>
      <c r="N130" s="19">
        <f>Table2[[#This Row],[TOT_EFF_COST (€)]]-Table2[[#This Row],[TOT_STD_COST (€)]]</f>
        <v>-1099</v>
      </c>
      <c r="O130" s="28">
        <f>Table2[[#This Row],[QTA_SCARTO]]/Table2[[#This Row],[QTA_LOTTO]]</f>
        <v>0.02</v>
      </c>
      <c r="P130" s="19"/>
      <c r="Q130" s="19"/>
    </row>
    <row r="131" spans="1:17" x14ac:dyDescent="0.3">
      <c r="A131" s="17" t="s">
        <v>298</v>
      </c>
      <c r="B131" s="21">
        <v>46209</v>
      </c>
      <c r="C131" s="17" t="s">
        <v>13</v>
      </c>
      <c r="D131" s="17" t="s">
        <v>14</v>
      </c>
      <c r="E131" s="17" t="s">
        <v>15</v>
      </c>
      <c r="F131" s="18">
        <v>200</v>
      </c>
      <c r="G131" s="18">
        <f>CLEAN_Dump_Produzione!$F131-CLEAN_Dump_Produzione!$H131</f>
        <v>195</v>
      </c>
      <c r="H131" s="18">
        <v>5</v>
      </c>
      <c r="I131" s="19">
        <v>45</v>
      </c>
      <c r="J131" s="19">
        <v>42.41</v>
      </c>
      <c r="K131" s="17" t="s">
        <v>55</v>
      </c>
      <c r="L131" s="19">
        <f>Table2[[#This Row],[QTA_LOTTO]]*Table2[[#This Row],[COSTO_STD_UNITARIO]]</f>
        <v>9000</v>
      </c>
      <c r="M131" s="19">
        <f>Table2[[#This Row],[QTA_PRODOTTA_EFF]]*Table2[[#This Row],[COSTO_EFF_UNITARIO]]</f>
        <v>8269.9499999999989</v>
      </c>
      <c r="N131" s="19">
        <f>Table2[[#This Row],[TOT_EFF_COST (€)]]-Table2[[#This Row],[TOT_STD_COST (€)]]</f>
        <v>-730.05000000000109</v>
      </c>
      <c r="O131" s="28">
        <f>Table2[[#This Row],[QTA_SCARTO]]/Table2[[#This Row],[QTA_LOTTO]]</f>
        <v>2.5000000000000001E-2</v>
      </c>
      <c r="P131" s="19"/>
      <c r="Q131" s="19"/>
    </row>
    <row r="132" spans="1:17" x14ac:dyDescent="0.3">
      <c r="A132" s="17" t="s">
        <v>300</v>
      </c>
      <c r="B132" s="21">
        <v>46297</v>
      </c>
      <c r="C132" s="17" t="s">
        <v>38</v>
      </c>
      <c r="D132" s="17" t="s">
        <v>14</v>
      </c>
      <c r="E132" s="17" t="s">
        <v>15</v>
      </c>
      <c r="F132" s="18">
        <v>250</v>
      </c>
      <c r="G132" s="18">
        <v>243</v>
      </c>
      <c r="H132" s="18">
        <v>7</v>
      </c>
      <c r="I132" s="19">
        <v>45</v>
      </c>
      <c r="J132" s="19">
        <v>44.73</v>
      </c>
      <c r="K132" s="17" t="s">
        <v>16</v>
      </c>
      <c r="L132" s="19">
        <f>Table2[[#This Row],[QTA_LOTTO]]*Table2[[#This Row],[COSTO_STD_UNITARIO]]</f>
        <v>11250</v>
      </c>
      <c r="M132" s="19">
        <f>Table2[[#This Row],[QTA_PRODOTTA_EFF]]*Table2[[#This Row],[COSTO_EFF_UNITARIO]]</f>
        <v>10869.39</v>
      </c>
      <c r="N132" s="19">
        <f>Table2[[#This Row],[TOT_EFF_COST (€)]]-Table2[[#This Row],[TOT_STD_COST (€)]]</f>
        <v>-380.61000000000058</v>
      </c>
      <c r="O132" s="28">
        <f>Table2[[#This Row],[QTA_SCARTO]]/Table2[[#This Row],[QTA_LOTTO]]</f>
        <v>2.8000000000000001E-2</v>
      </c>
      <c r="P132" s="19"/>
      <c r="Q132" s="19"/>
    </row>
    <row r="133" spans="1:17" x14ac:dyDescent="0.3">
      <c r="A133" s="17" t="s">
        <v>302</v>
      </c>
      <c r="B133" s="21">
        <v>46281</v>
      </c>
      <c r="C133" s="17" t="s">
        <v>28</v>
      </c>
      <c r="D133" s="17" t="s">
        <v>89</v>
      </c>
      <c r="E133" s="17" t="s">
        <v>90</v>
      </c>
      <c r="F133" s="18">
        <v>300</v>
      </c>
      <c r="G133" s="18">
        <v>293</v>
      </c>
      <c r="H133" s="18">
        <v>7</v>
      </c>
      <c r="I133" s="19">
        <v>85</v>
      </c>
      <c r="J133" s="19">
        <v>89.56</v>
      </c>
      <c r="K133" s="17" t="s">
        <v>39</v>
      </c>
      <c r="L133" s="19">
        <f>Table2[[#This Row],[QTA_LOTTO]]*Table2[[#This Row],[COSTO_STD_UNITARIO]]</f>
        <v>25500</v>
      </c>
      <c r="M133" s="19">
        <f>Table2[[#This Row],[QTA_PRODOTTA_EFF]]*Table2[[#This Row],[COSTO_EFF_UNITARIO]]</f>
        <v>26241.08</v>
      </c>
      <c r="N133" s="19">
        <f>Table2[[#This Row],[TOT_EFF_COST (€)]]-Table2[[#This Row],[TOT_STD_COST (€)]]</f>
        <v>741.08000000000175</v>
      </c>
      <c r="O133" s="28">
        <f>Table2[[#This Row],[QTA_SCARTO]]/Table2[[#This Row],[QTA_LOTTO]]</f>
        <v>2.3333333333333334E-2</v>
      </c>
      <c r="P133" s="19"/>
      <c r="Q133" s="19"/>
    </row>
    <row r="134" spans="1:17" x14ac:dyDescent="0.3">
      <c r="A134" s="17" t="s">
        <v>304</v>
      </c>
      <c r="B134" s="21">
        <v>46274</v>
      </c>
      <c r="C134" s="17" t="s">
        <v>13</v>
      </c>
      <c r="D134" s="17" t="s">
        <v>58</v>
      </c>
      <c r="E134" s="17" t="s">
        <v>59</v>
      </c>
      <c r="F134" s="18">
        <v>200</v>
      </c>
      <c r="G134" s="18">
        <v>176</v>
      </c>
      <c r="H134" s="18">
        <v>24</v>
      </c>
      <c r="I134" s="19">
        <v>340</v>
      </c>
      <c r="J134" s="19">
        <v>357.09</v>
      </c>
      <c r="K134" s="17" t="s">
        <v>25</v>
      </c>
      <c r="L134" s="19">
        <f>Table2[[#This Row],[QTA_LOTTO]]*Table2[[#This Row],[COSTO_STD_UNITARIO]]</f>
        <v>68000</v>
      </c>
      <c r="M134" s="19">
        <f>Table2[[#This Row],[QTA_PRODOTTA_EFF]]*Table2[[#This Row],[COSTO_EFF_UNITARIO]]</f>
        <v>62847.839999999997</v>
      </c>
      <c r="N134" s="19">
        <f>Table2[[#This Row],[TOT_EFF_COST (€)]]-Table2[[#This Row],[TOT_STD_COST (€)]]</f>
        <v>-5152.1600000000035</v>
      </c>
      <c r="O134" s="28">
        <f>Table2[[#This Row],[QTA_SCARTO]]/Table2[[#This Row],[QTA_LOTTO]]</f>
        <v>0.12</v>
      </c>
      <c r="P134" s="19"/>
      <c r="Q134" s="19"/>
    </row>
    <row r="135" spans="1:17" x14ac:dyDescent="0.3">
      <c r="A135" s="17" t="s">
        <v>306</v>
      </c>
      <c r="B135" s="21">
        <v>46342</v>
      </c>
      <c r="C135" s="17" t="s">
        <v>13</v>
      </c>
      <c r="D135" s="17" t="s">
        <v>29</v>
      </c>
      <c r="E135" s="17" t="s">
        <v>30</v>
      </c>
      <c r="F135" s="18">
        <v>250</v>
      </c>
      <c r="G135" s="18">
        <v>246</v>
      </c>
      <c r="H135" s="18">
        <v>4</v>
      </c>
      <c r="I135" s="19">
        <v>65</v>
      </c>
      <c r="J135" s="19">
        <v>63.48</v>
      </c>
      <c r="K135" s="17" t="s">
        <v>25</v>
      </c>
      <c r="L135" s="19">
        <f>Table2[[#This Row],[QTA_LOTTO]]*Table2[[#This Row],[COSTO_STD_UNITARIO]]</f>
        <v>16250</v>
      </c>
      <c r="M135" s="19">
        <f>Table2[[#This Row],[QTA_PRODOTTA_EFF]]*Table2[[#This Row],[COSTO_EFF_UNITARIO]]</f>
        <v>15616.08</v>
      </c>
      <c r="N135" s="19">
        <f>Table2[[#This Row],[TOT_EFF_COST (€)]]-Table2[[#This Row],[TOT_STD_COST (€)]]</f>
        <v>-633.92000000000007</v>
      </c>
      <c r="O135" s="28">
        <f>Table2[[#This Row],[QTA_SCARTO]]/Table2[[#This Row],[QTA_LOTTO]]</f>
        <v>1.6E-2</v>
      </c>
      <c r="P135" s="19"/>
      <c r="Q135" s="19"/>
    </row>
    <row r="136" spans="1:17" x14ac:dyDescent="0.3">
      <c r="A136" s="17" t="s">
        <v>308</v>
      </c>
      <c r="B136" s="21">
        <v>46346</v>
      </c>
      <c r="C136" s="17" t="s">
        <v>13</v>
      </c>
      <c r="D136" s="17" t="s">
        <v>58</v>
      </c>
      <c r="E136" s="17" t="s">
        <v>59</v>
      </c>
      <c r="F136" s="18">
        <v>500</v>
      </c>
      <c r="G136" s="18">
        <v>488</v>
      </c>
      <c r="H136" s="18">
        <v>12</v>
      </c>
      <c r="I136" s="19">
        <v>340</v>
      </c>
      <c r="J136" s="19">
        <v>356.54</v>
      </c>
      <c r="K136" s="17" t="s">
        <v>55</v>
      </c>
      <c r="L136" s="19">
        <f>Table2[[#This Row],[QTA_LOTTO]]*Table2[[#This Row],[COSTO_STD_UNITARIO]]</f>
        <v>170000</v>
      </c>
      <c r="M136" s="19">
        <f>Table2[[#This Row],[QTA_PRODOTTA_EFF]]*Table2[[#This Row],[COSTO_EFF_UNITARIO]]</f>
        <v>173991.52000000002</v>
      </c>
      <c r="N136" s="19">
        <f>Table2[[#This Row],[TOT_EFF_COST (€)]]-Table2[[#This Row],[TOT_STD_COST (€)]]</f>
        <v>3991.5200000000186</v>
      </c>
      <c r="O136" s="28">
        <f>Table2[[#This Row],[QTA_SCARTO]]/Table2[[#This Row],[QTA_LOTTO]]</f>
        <v>2.4E-2</v>
      </c>
      <c r="P136" s="19"/>
      <c r="Q136" s="19"/>
    </row>
    <row r="137" spans="1:17" x14ac:dyDescent="0.3">
      <c r="A137" s="17" t="s">
        <v>310</v>
      </c>
      <c r="B137" s="21">
        <v>46279</v>
      </c>
      <c r="C137" s="17" t="s">
        <v>38</v>
      </c>
      <c r="D137" s="17" t="s">
        <v>58</v>
      </c>
      <c r="E137" s="17" t="s">
        <v>59</v>
      </c>
      <c r="F137" s="18">
        <v>1000</v>
      </c>
      <c r="G137" s="18">
        <f>CLEAN_Dump_Produzione!$F137-CLEAN_Dump_Produzione!$H137</f>
        <v>994</v>
      </c>
      <c r="H137" s="18">
        <v>6</v>
      </c>
      <c r="I137" s="19">
        <v>340</v>
      </c>
      <c r="J137" s="19">
        <v>357.75</v>
      </c>
      <c r="K137" s="17" t="s">
        <v>55</v>
      </c>
      <c r="L137" s="19">
        <f>Table2[[#This Row],[QTA_LOTTO]]*Table2[[#This Row],[COSTO_STD_UNITARIO]]</f>
        <v>340000</v>
      </c>
      <c r="M137" s="19">
        <f>Table2[[#This Row],[QTA_PRODOTTA_EFF]]*Table2[[#This Row],[COSTO_EFF_UNITARIO]]</f>
        <v>355603.5</v>
      </c>
      <c r="N137" s="19">
        <f>Table2[[#This Row],[TOT_EFF_COST (€)]]-Table2[[#This Row],[TOT_STD_COST (€)]]</f>
        <v>15603.5</v>
      </c>
      <c r="O137" s="28">
        <f>Table2[[#This Row],[QTA_SCARTO]]/Table2[[#This Row],[QTA_LOTTO]]</f>
        <v>6.0000000000000001E-3</v>
      </c>
      <c r="P137" s="19"/>
      <c r="Q137" s="19"/>
    </row>
    <row r="138" spans="1:17" x14ac:dyDescent="0.3">
      <c r="A138" s="17" t="s">
        <v>312</v>
      </c>
      <c r="B138" s="21">
        <v>46210</v>
      </c>
      <c r="C138" s="17" t="s">
        <v>28</v>
      </c>
      <c r="D138" s="17" t="s">
        <v>29</v>
      </c>
      <c r="E138" s="17" t="s">
        <v>30</v>
      </c>
      <c r="F138" s="18">
        <v>300</v>
      </c>
      <c r="G138" s="18">
        <v>298</v>
      </c>
      <c r="H138" s="18">
        <v>2</v>
      </c>
      <c r="I138" s="19">
        <v>65</v>
      </c>
      <c r="J138" s="19">
        <v>63.18</v>
      </c>
      <c r="K138" s="17" t="s">
        <v>16</v>
      </c>
      <c r="L138" s="19">
        <f>Table2[[#This Row],[QTA_LOTTO]]*Table2[[#This Row],[COSTO_STD_UNITARIO]]</f>
        <v>19500</v>
      </c>
      <c r="M138" s="19">
        <f>Table2[[#This Row],[QTA_PRODOTTA_EFF]]*Table2[[#This Row],[COSTO_EFF_UNITARIO]]</f>
        <v>18827.64</v>
      </c>
      <c r="N138" s="19">
        <f>Table2[[#This Row],[TOT_EFF_COST (€)]]-Table2[[#This Row],[TOT_STD_COST (€)]]</f>
        <v>-672.36000000000058</v>
      </c>
      <c r="O138" s="28">
        <f>Table2[[#This Row],[QTA_SCARTO]]/Table2[[#This Row],[QTA_LOTTO]]</f>
        <v>6.6666666666666671E-3</v>
      </c>
      <c r="P138" s="19"/>
      <c r="Q138" s="19"/>
    </row>
    <row r="139" spans="1:17" x14ac:dyDescent="0.3">
      <c r="A139" s="17" t="s">
        <v>314</v>
      </c>
      <c r="B139" s="21">
        <v>46215</v>
      </c>
      <c r="C139" s="17" t="s">
        <v>38</v>
      </c>
      <c r="D139" s="17" t="s">
        <v>116</v>
      </c>
      <c r="E139" s="17" t="s">
        <v>117</v>
      </c>
      <c r="F139" s="18">
        <v>100</v>
      </c>
      <c r="G139" s="18">
        <v>84</v>
      </c>
      <c r="H139" s="18">
        <v>16</v>
      </c>
      <c r="I139" s="19">
        <v>28</v>
      </c>
      <c r="J139" s="19">
        <v>25.76</v>
      </c>
      <c r="K139" s="17" t="s">
        <v>25</v>
      </c>
      <c r="L139" s="19">
        <f>Table2[[#This Row],[QTA_LOTTO]]*Table2[[#This Row],[COSTO_STD_UNITARIO]]</f>
        <v>2800</v>
      </c>
      <c r="M139" s="19">
        <f>Table2[[#This Row],[QTA_PRODOTTA_EFF]]*Table2[[#This Row],[COSTO_EFF_UNITARIO]]</f>
        <v>2163.84</v>
      </c>
      <c r="N139" s="19">
        <f>Table2[[#This Row],[TOT_EFF_COST (€)]]-Table2[[#This Row],[TOT_STD_COST (€)]]</f>
        <v>-636.15999999999985</v>
      </c>
      <c r="O139" s="28">
        <f>Table2[[#This Row],[QTA_SCARTO]]/Table2[[#This Row],[QTA_LOTTO]]</f>
        <v>0.16</v>
      </c>
      <c r="P139" s="19"/>
      <c r="Q139" s="19"/>
    </row>
    <row r="140" spans="1:17" x14ac:dyDescent="0.3">
      <c r="A140" s="17" t="s">
        <v>316</v>
      </c>
      <c r="B140" s="21">
        <v>46254</v>
      </c>
      <c r="C140" s="17" t="s">
        <v>13</v>
      </c>
      <c r="D140" s="17" t="s">
        <v>89</v>
      </c>
      <c r="E140" s="17" t="s">
        <v>90</v>
      </c>
      <c r="F140" s="18">
        <v>300</v>
      </c>
      <c r="G140" s="18">
        <v>291</v>
      </c>
      <c r="H140" s="18">
        <v>9</v>
      </c>
      <c r="I140" s="19">
        <v>85</v>
      </c>
      <c r="J140" s="19">
        <v>90.99</v>
      </c>
      <c r="K140" s="17" t="s">
        <v>25</v>
      </c>
      <c r="L140" s="19">
        <f>Table2[[#This Row],[QTA_LOTTO]]*Table2[[#This Row],[COSTO_STD_UNITARIO]]</f>
        <v>25500</v>
      </c>
      <c r="M140" s="19">
        <f>Table2[[#This Row],[QTA_PRODOTTA_EFF]]*Table2[[#This Row],[COSTO_EFF_UNITARIO]]</f>
        <v>26478.09</v>
      </c>
      <c r="N140" s="19">
        <f>Table2[[#This Row],[TOT_EFF_COST (€)]]-Table2[[#This Row],[TOT_STD_COST (€)]]</f>
        <v>978.09000000000015</v>
      </c>
      <c r="O140" s="28">
        <f>Table2[[#This Row],[QTA_SCARTO]]/Table2[[#This Row],[QTA_LOTTO]]</f>
        <v>0.03</v>
      </c>
      <c r="P140" s="19"/>
      <c r="Q140" s="19"/>
    </row>
    <row r="141" spans="1:17" x14ac:dyDescent="0.3">
      <c r="A141" s="17" t="s">
        <v>317</v>
      </c>
      <c r="B141" s="21">
        <v>46338</v>
      </c>
      <c r="C141" s="17" t="s">
        <v>38</v>
      </c>
      <c r="D141" s="17" t="s">
        <v>58</v>
      </c>
      <c r="E141" s="17" t="s">
        <v>59</v>
      </c>
      <c r="F141" s="18">
        <v>200</v>
      </c>
      <c r="G141" s="18">
        <v>188</v>
      </c>
      <c r="H141" s="18">
        <v>12</v>
      </c>
      <c r="I141" s="19">
        <v>340</v>
      </c>
      <c r="J141" s="19">
        <v>358.19</v>
      </c>
      <c r="K141" s="17" t="s">
        <v>16</v>
      </c>
      <c r="L141" s="19">
        <f>Table2[[#This Row],[QTA_LOTTO]]*Table2[[#This Row],[COSTO_STD_UNITARIO]]</f>
        <v>68000</v>
      </c>
      <c r="M141" s="19">
        <f>Table2[[#This Row],[QTA_PRODOTTA_EFF]]*Table2[[#This Row],[COSTO_EFF_UNITARIO]]</f>
        <v>67339.72</v>
      </c>
      <c r="N141" s="19">
        <f>Table2[[#This Row],[TOT_EFF_COST (€)]]-Table2[[#This Row],[TOT_STD_COST (€)]]</f>
        <v>-660.27999999999884</v>
      </c>
      <c r="O141" s="28">
        <f>Table2[[#This Row],[QTA_SCARTO]]/Table2[[#This Row],[QTA_LOTTO]]</f>
        <v>0.06</v>
      </c>
      <c r="P141" s="19"/>
      <c r="Q141" s="19"/>
    </row>
    <row r="142" spans="1:17" x14ac:dyDescent="0.3">
      <c r="A142" s="17" t="s">
        <v>319</v>
      </c>
      <c r="B142" s="21">
        <v>46315</v>
      </c>
      <c r="C142" s="17" t="s">
        <v>28</v>
      </c>
      <c r="D142" s="17" t="s">
        <v>46</v>
      </c>
      <c r="E142" s="17" t="s">
        <v>47</v>
      </c>
      <c r="F142" s="18">
        <v>150</v>
      </c>
      <c r="G142" s="18">
        <v>131</v>
      </c>
      <c r="H142" s="18">
        <v>19</v>
      </c>
      <c r="I142" s="19">
        <v>35</v>
      </c>
      <c r="J142" s="19">
        <v>36.57</v>
      </c>
      <c r="K142" s="17" t="s">
        <v>55</v>
      </c>
      <c r="L142" s="19">
        <f>Table2[[#This Row],[QTA_LOTTO]]*Table2[[#This Row],[COSTO_STD_UNITARIO]]</f>
        <v>5250</v>
      </c>
      <c r="M142" s="19">
        <f>Table2[[#This Row],[QTA_PRODOTTA_EFF]]*Table2[[#This Row],[COSTO_EFF_UNITARIO]]</f>
        <v>4790.67</v>
      </c>
      <c r="N142" s="19">
        <f>Table2[[#This Row],[TOT_EFF_COST (€)]]-Table2[[#This Row],[TOT_STD_COST (€)]]</f>
        <v>-459.32999999999993</v>
      </c>
      <c r="O142" s="28">
        <f>Table2[[#This Row],[QTA_SCARTO]]/Table2[[#This Row],[QTA_LOTTO]]</f>
        <v>0.12666666666666668</v>
      </c>
      <c r="P142" s="19"/>
      <c r="Q142" s="19"/>
    </row>
    <row r="143" spans="1:17" x14ac:dyDescent="0.3">
      <c r="A143" s="17" t="s">
        <v>321</v>
      </c>
      <c r="B143" s="21">
        <v>46218</v>
      </c>
      <c r="C143" s="17" t="s">
        <v>28</v>
      </c>
      <c r="D143" s="17" t="s">
        <v>116</v>
      </c>
      <c r="E143" s="17" t="s">
        <v>117</v>
      </c>
      <c r="F143" s="18">
        <v>200</v>
      </c>
      <c r="G143" s="18">
        <v>176</v>
      </c>
      <c r="H143" s="18">
        <v>24</v>
      </c>
      <c r="I143" s="19">
        <v>28</v>
      </c>
      <c r="J143" s="19">
        <v>28.52</v>
      </c>
      <c r="K143" s="17" t="s">
        <v>25</v>
      </c>
      <c r="L143" s="19">
        <f>Table2[[#This Row],[QTA_LOTTO]]*Table2[[#This Row],[COSTO_STD_UNITARIO]]</f>
        <v>5600</v>
      </c>
      <c r="M143" s="19">
        <f>Table2[[#This Row],[QTA_PRODOTTA_EFF]]*Table2[[#This Row],[COSTO_EFF_UNITARIO]]</f>
        <v>5019.5199999999995</v>
      </c>
      <c r="N143" s="19">
        <f>Table2[[#This Row],[TOT_EFF_COST (€)]]-Table2[[#This Row],[TOT_STD_COST (€)]]</f>
        <v>-580.48000000000047</v>
      </c>
      <c r="O143" s="28">
        <f>Table2[[#This Row],[QTA_SCARTO]]/Table2[[#This Row],[QTA_LOTTO]]</f>
        <v>0.12</v>
      </c>
      <c r="P143" s="19"/>
      <c r="Q143" s="19"/>
    </row>
    <row r="144" spans="1:17" x14ac:dyDescent="0.3">
      <c r="A144" s="17" t="s">
        <v>323</v>
      </c>
      <c r="B144" s="21">
        <v>46265</v>
      </c>
      <c r="C144" s="17" t="s">
        <v>28</v>
      </c>
      <c r="D144" s="17" t="s">
        <v>14</v>
      </c>
      <c r="E144" s="17" t="s">
        <v>15</v>
      </c>
      <c r="F144" s="18">
        <v>500</v>
      </c>
      <c r="G144" s="18">
        <v>494</v>
      </c>
      <c r="H144" s="18">
        <v>6</v>
      </c>
      <c r="I144" s="19">
        <v>45</v>
      </c>
      <c r="J144" s="19">
        <v>45.01</v>
      </c>
      <c r="K144" s="17" t="s">
        <v>16</v>
      </c>
      <c r="L144" s="19">
        <f>Table2[[#This Row],[QTA_LOTTO]]*Table2[[#This Row],[COSTO_STD_UNITARIO]]</f>
        <v>22500</v>
      </c>
      <c r="M144" s="19">
        <f>Table2[[#This Row],[QTA_PRODOTTA_EFF]]*Table2[[#This Row],[COSTO_EFF_UNITARIO]]</f>
        <v>22234.94</v>
      </c>
      <c r="N144" s="19">
        <f>Table2[[#This Row],[TOT_EFF_COST (€)]]-Table2[[#This Row],[TOT_STD_COST (€)]]</f>
        <v>-265.06000000000131</v>
      </c>
      <c r="O144" s="28">
        <f>Table2[[#This Row],[QTA_SCARTO]]/Table2[[#This Row],[QTA_LOTTO]]</f>
        <v>1.2E-2</v>
      </c>
      <c r="P144" s="19"/>
      <c r="Q144" s="19"/>
    </row>
    <row r="145" spans="1:17" x14ac:dyDescent="0.3">
      <c r="A145" s="17" t="s">
        <v>325</v>
      </c>
      <c r="B145" s="21">
        <v>46341</v>
      </c>
      <c r="C145" s="17" t="s">
        <v>38</v>
      </c>
      <c r="D145" s="17" t="s">
        <v>89</v>
      </c>
      <c r="E145" s="17" t="s">
        <v>90</v>
      </c>
      <c r="F145" s="18">
        <v>150</v>
      </c>
      <c r="G145" s="18">
        <v>146</v>
      </c>
      <c r="H145" s="18">
        <v>4</v>
      </c>
      <c r="I145" s="19">
        <v>85</v>
      </c>
      <c r="J145" s="19">
        <v>87.48</v>
      </c>
      <c r="K145" s="17" t="s">
        <v>22</v>
      </c>
      <c r="L145" s="19">
        <f>Table2[[#This Row],[QTA_LOTTO]]*Table2[[#This Row],[COSTO_STD_UNITARIO]]</f>
        <v>12750</v>
      </c>
      <c r="M145" s="19">
        <f>Table2[[#This Row],[QTA_PRODOTTA_EFF]]*Table2[[#This Row],[COSTO_EFF_UNITARIO]]</f>
        <v>12772.08</v>
      </c>
      <c r="N145" s="19">
        <f>Table2[[#This Row],[TOT_EFF_COST (€)]]-Table2[[#This Row],[TOT_STD_COST (€)]]</f>
        <v>22.079999999999927</v>
      </c>
      <c r="O145" s="28">
        <f>Table2[[#This Row],[QTA_SCARTO]]/Table2[[#This Row],[QTA_LOTTO]]</f>
        <v>2.6666666666666668E-2</v>
      </c>
      <c r="P145" s="19"/>
      <c r="Q145" s="19"/>
    </row>
    <row r="146" spans="1:17" x14ac:dyDescent="0.3">
      <c r="A146" s="17" t="s">
        <v>283</v>
      </c>
      <c r="B146" s="21">
        <v>46293</v>
      </c>
      <c r="C146" s="17" t="s">
        <v>38</v>
      </c>
      <c r="D146" s="17" t="s">
        <v>89</v>
      </c>
      <c r="E146" s="17" t="s">
        <v>90</v>
      </c>
      <c r="F146" s="18">
        <v>1000</v>
      </c>
      <c r="G146" s="18">
        <v>920</v>
      </c>
      <c r="H146" s="18">
        <v>80</v>
      </c>
      <c r="I146" s="19">
        <v>85</v>
      </c>
      <c r="J146" s="19">
        <v>88.17</v>
      </c>
      <c r="K146" s="17" t="s">
        <v>22</v>
      </c>
      <c r="L146" s="19">
        <f>Table2[[#This Row],[QTA_LOTTO]]*Table2[[#This Row],[COSTO_STD_UNITARIO]]</f>
        <v>85000</v>
      </c>
      <c r="M146" s="19">
        <f>Table2[[#This Row],[QTA_PRODOTTA_EFF]]*Table2[[#This Row],[COSTO_EFF_UNITARIO]]</f>
        <v>81116.400000000009</v>
      </c>
      <c r="N146" s="19">
        <f>Table2[[#This Row],[TOT_EFF_COST (€)]]-Table2[[#This Row],[TOT_STD_COST (€)]]</f>
        <v>-3883.5999999999913</v>
      </c>
      <c r="O146" s="28">
        <f>Table2[[#This Row],[QTA_SCARTO]]/Table2[[#This Row],[QTA_LOTTO]]</f>
        <v>0.08</v>
      </c>
      <c r="P146" s="19"/>
      <c r="Q146" s="19"/>
    </row>
    <row r="147" spans="1:17" x14ac:dyDescent="0.3">
      <c r="A147" s="17" t="s">
        <v>329</v>
      </c>
      <c r="B147" s="21">
        <v>46334</v>
      </c>
      <c r="C147" s="17" t="s">
        <v>28</v>
      </c>
      <c r="D147" s="17" t="s">
        <v>42</v>
      </c>
      <c r="E147" s="17" t="s">
        <v>43</v>
      </c>
      <c r="F147" s="18">
        <v>300</v>
      </c>
      <c r="G147" s="18">
        <v>287</v>
      </c>
      <c r="H147" s="18">
        <v>13</v>
      </c>
      <c r="I147" s="19">
        <v>150</v>
      </c>
      <c r="J147" s="19">
        <v>148.44</v>
      </c>
      <c r="K147" s="17" t="s">
        <v>22</v>
      </c>
      <c r="L147" s="19">
        <f>Table2[[#This Row],[QTA_LOTTO]]*Table2[[#This Row],[COSTO_STD_UNITARIO]]</f>
        <v>45000</v>
      </c>
      <c r="M147" s="19">
        <f>Table2[[#This Row],[QTA_PRODOTTA_EFF]]*Table2[[#This Row],[COSTO_EFF_UNITARIO]]</f>
        <v>42602.28</v>
      </c>
      <c r="N147" s="19">
        <f>Table2[[#This Row],[TOT_EFF_COST (€)]]-Table2[[#This Row],[TOT_STD_COST (€)]]</f>
        <v>-2397.7200000000012</v>
      </c>
      <c r="O147" s="28">
        <f>Table2[[#This Row],[QTA_SCARTO]]/Table2[[#This Row],[QTA_LOTTO]]</f>
        <v>4.3333333333333335E-2</v>
      </c>
      <c r="P147" s="19"/>
      <c r="Q147" s="19"/>
    </row>
    <row r="148" spans="1:17" x14ac:dyDescent="0.3">
      <c r="A148" s="17" t="s">
        <v>331</v>
      </c>
      <c r="B148" s="21">
        <v>46348</v>
      </c>
      <c r="C148" s="17" t="s">
        <v>38</v>
      </c>
      <c r="D148" s="17" t="s">
        <v>42</v>
      </c>
      <c r="E148" s="17" t="s">
        <v>43</v>
      </c>
      <c r="F148" s="18">
        <v>300</v>
      </c>
      <c r="G148" s="18">
        <v>294</v>
      </c>
      <c r="H148" s="18">
        <v>6</v>
      </c>
      <c r="I148" s="19">
        <v>150</v>
      </c>
      <c r="J148" s="19">
        <v>148.01</v>
      </c>
      <c r="K148" s="17" t="s">
        <v>39</v>
      </c>
      <c r="L148" s="19">
        <f>Table2[[#This Row],[QTA_LOTTO]]*Table2[[#This Row],[COSTO_STD_UNITARIO]]</f>
        <v>45000</v>
      </c>
      <c r="M148" s="19">
        <f>Table2[[#This Row],[QTA_PRODOTTA_EFF]]*Table2[[#This Row],[COSTO_EFF_UNITARIO]]</f>
        <v>43514.939999999995</v>
      </c>
      <c r="N148" s="19">
        <f>Table2[[#This Row],[TOT_EFF_COST (€)]]-Table2[[#This Row],[TOT_STD_COST (€)]]</f>
        <v>-1485.0600000000049</v>
      </c>
      <c r="O148" s="28">
        <f>Table2[[#This Row],[QTA_SCARTO]]/Table2[[#This Row],[QTA_LOTTO]]</f>
        <v>0.02</v>
      </c>
      <c r="P148" s="19"/>
      <c r="Q148" s="19"/>
    </row>
    <row r="149" spans="1:17" x14ac:dyDescent="0.3">
      <c r="A149" s="17" t="s">
        <v>333</v>
      </c>
      <c r="B149" s="21">
        <v>46257</v>
      </c>
      <c r="C149" s="17" t="s">
        <v>28</v>
      </c>
      <c r="D149" s="17" t="s">
        <v>58</v>
      </c>
      <c r="E149" s="17" t="s">
        <v>59</v>
      </c>
      <c r="F149" s="18">
        <v>100</v>
      </c>
      <c r="G149" s="18">
        <v>80</v>
      </c>
      <c r="H149" s="18">
        <v>20</v>
      </c>
      <c r="I149" s="19">
        <v>340</v>
      </c>
      <c r="J149" s="19">
        <v>357.35</v>
      </c>
      <c r="K149" s="17" t="s">
        <v>16</v>
      </c>
      <c r="L149" s="19">
        <f>Table2[[#This Row],[QTA_LOTTO]]*Table2[[#This Row],[COSTO_STD_UNITARIO]]</f>
        <v>34000</v>
      </c>
      <c r="M149" s="19">
        <f>Table2[[#This Row],[QTA_PRODOTTA_EFF]]*Table2[[#This Row],[COSTO_EFF_UNITARIO]]</f>
        <v>28588</v>
      </c>
      <c r="N149" s="19">
        <f>Table2[[#This Row],[TOT_EFF_COST (€)]]-Table2[[#This Row],[TOT_STD_COST (€)]]</f>
        <v>-5412</v>
      </c>
      <c r="O149" s="28">
        <f>Table2[[#This Row],[QTA_SCARTO]]/Table2[[#This Row],[QTA_LOTTO]]</f>
        <v>0.2</v>
      </c>
      <c r="P149" s="19"/>
      <c r="Q149" s="19"/>
    </row>
    <row r="150" spans="1:17" x14ac:dyDescent="0.3">
      <c r="A150" s="17" t="s">
        <v>335</v>
      </c>
      <c r="B150" s="21">
        <v>46249</v>
      </c>
      <c r="C150" s="17" t="s">
        <v>28</v>
      </c>
      <c r="D150" s="17" t="s">
        <v>116</v>
      </c>
      <c r="E150" s="17" t="s">
        <v>117</v>
      </c>
      <c r="F150" s="18">
        <v>100</v>
      </c>
      <c r="G150" s="18">
        <v>95</v>
      </c>
      <c r="H150" s="18">
        <v>5</v>
      </c>
      <c r="I150" s="19">
        <v>28</v>
      </c>
      <c r="J150" s="19">
        <v>27.88</v>
      </c>
      <c r="K150" s="17" t="s">
        <v>22</v>
      </c>
      <c r="L150" s="19">
        <f>Table2[[#This Row],[QTA_LOTTO]]*Table2[[#This Row],[COSTO_STD_UNITARIO]]</f>
        <v>2800</v>
      </c>
      <c r="M150" s="19">
        <f>Table2[[#This Row],[QTA_PRODOTTA_EFF]]*Table2[[#This Row],[COSTO_EFF_UNITARIO]]</f>
        <v>2648.6</v>
      </c>
      <c r="N150" s="19">
        <f>Table2[[#This Row],[TOT_EFF_COST (€)]]-Table2[[#This Row],[TOT_STD_COST (€)]]</f>
        <v>-151.40000000000009</v>
      </c>
      <c r="O150" s="28">
        <f>Table2[[#This Row],[QTA_SCARTO]]/Table2[[#This Row],[QTA_LOTTO]]</f>
        <v>0.05</v>
      </c>
      <c r="P150" s="19"/>
      <c r="Q150" s="19"/>
    </row>
    <row r="151" spans="1:17" x14ac:dyDescent="0.3">
      <c r="A151" s="17" t="s">
        <v>337</v>
      </c>
      <c r="B151" s="21">
        <v>46294</v>
      </c>
      <c r="C151" s="17" t="s">
        <v>28</v>
      </c>
      <c r="D151" s="17" t="s">
        <v>42</v>
      </c>
      <c r="E151" s="17" t="s">
        <v>43</v>
      </c>
      <c r="F151" s="18">
        <v>200</v>
      </c>
      <c r="G151" s="18">
        <v>186</v>
      </c>
      <c r="H151" s="18">
        <v>14</v>
      </c>
      <c r="I151" s="19">
        <v>150</v>
      </c>
      <c r="J151" s="19">
        <v>148.37</v>
      </c>
      <c r="K151" s="17" t="s">
        <v>16</v>
      </c>
      <c r="L151" s="19">
        <f>Table2[[#This Row],[QTA_LOTTO]]*Table2[[#This Row],[COSTO_STD_UNITARIO]]</f>
        <v>30000</v>
      </c>
      <c r="M151" s="19">
        <f>Table2[[#This Row],[QTA_PRODOTTA_EFF]]*Table2[[#This Row],[COSTO_EFF_UNITARIO]]</f>
        <v>27596.82</v>
      </c>
      <c r="N151" s="19">
        <f>Table2[[#This Row],[TOT_EFF_COST (€)]]-Table2[[#This Row],[TOT_STD_COST (€)]]</f>
        <v>-2403.1800000000003</v>
      </c>
      <c r="O151" s="28">
        <f>Table2[[#This Row],[QTA_SCARTO]]/Table2[[#This Row],[QTA_LOTTO]]</f>
        <v>7.0000000000000007E-2</v>
      </c>
      <c r="P151" s="19"/>
      <c r="Q151" s="19"/>
    </row>
    <row r="152" spans="1:17" x14ac:dyDescent="0.3">
      <c r="A152" s="17" t="s">
        <v>339</v>
      </c>
      <c r="B152" s="21">
        <v>46246</v>
      </c>
      <c r="C152" s="17" t="s">
        <v>38</v>
      </c>
      <c r="D152" s="17" t="s">
        <v>46</v>
      </c>
      <c r="E152" s="17" t="s">
        <v>47</v>
      </c>
      <c r="F152" s="18">
        <v>200</v>
      </c>
      <c r="G152" s="18">
        <v>190</v>
      </c>
      <c r="H152" s="18">
        <v>10</v>
      </c>
      <c r="I152" s="19">
        <v>35</v>
      </c>
      <c r="J152" s="19">
        <v>37.880000000000003</v>
      </c>
      <c r="K152" s="17" t="s">
        <v>39</v>
      </c>
      <c r="L152" s="19">
        <f>Table2[[#This Row],[QTA_LOTTO]]*Table2[[#This Row],[COSTO_STD_UNITARIO]]</f>
        <v>7000</v>
      </c>
      <c r="M152" s="19">
        <f>Table2[[#This Row],[QTA_PRODOTTA_EFF]]*Table2[[#This Row],[COSTO_EFF_UNITARIO]]</f>
        <v>7197.2000000000007</v>
      </c>
      <c r="N152" s="19">
        <f>Table2[[#This Row],[TOT_EFF_COST (€)]]-Table2[[#This Row],[TOT_STD_COST (€)]]</f>
        <v>197.20000000000073</v>
      </c>
      <c r="O152" s="28">
        <f>Table2[[#This Row],[QTA_SCARTO]]/Table2[[#This Row],[QTA_LOTTO]]</f>
        <v>0.05</v>
      </c>
      <c r="P152" s="19"/>
      <c r="Q152" s="19"/>
    </row>
    <row r="153" spans="1:17" x14ac:dyDescent="0.3">
      <c r="A153" s="17" t="s">
        <v>341</v>
      </c>
      <c r="B153" s="21">
        <v>46253</v>
      </c>
      <c r="C153" s="17" t="s">
        <v>13</v>
      </c>
      <c r="D153" s="17" t="s">
        <v>34</v>
      </c>
      <c r="E153" s="17" t="s">
        <v>35</v>
      </c>
      <c r="F153" s="18">
        <v>300</v>
      </c>
      <c r="G153" s="18">
        <v>284</v>
      </c>
      <c r="H153" s="18">
        <v>16</v>
      </c>
      <c r="I153" s="19">
        <v>210</v>
      </c>
      <c r="J153" s="19">
        <v>204.41</v>
      </c>
      <c r="K153" s="17" t="s">
        <v>16</v>
      </c>
      <c r="L153" s="19">
        <f>Table2[[#This Row],[QTA_LOTTO]]*Table2[[#This Row],[COSTO_STD_UNITARIO]]</f>
        <v>63000</v>
      </c>
      <c r="M153" s="19">
        <f>Table2[[#This Row],[QTA_PRODOTTA_EFF]]*Table2[[#This Row],[COSTO_EFF_UNITARIO]]</f>
        <v>58052.44</v>
      </c>
      <c r="N153" s="19">
        <f>Table2[[#This Row],[TOT_EFF_COST (€)]]-Table2[[#This Row],[TOT_STD_COST (€)]]</f>
        <v>-4947.5599999999977</v>
      </c>
      <c r="O153" s="28">
        <f>Table2[[#This Row],[QTA_SCARTO]]/Table2[[#This Row],[QTA_LOTTO]]</f>
        <v>5.3333333333333337E-2</v>
      </c>
      <c r="P153" s="19"/>
      <c r="Q153" s="19"/>
    </row>
    <row r="154" spans="1:17" x14ac:dyDescent="0.3">
      <c r="A154" s="17" t="s">
        <v>343</v>
      </c>
      <c r="B154" s="21">
        <v>46244</v>
      </c>
      <c r="C154" s="17" t="s">
        <v>38</v>
      </c>
      <c r="D154" s="17" t="s">
        <v>58</v>
      </c>
      <c r="E154" s="17" t="s">
        <v>59</v>
      </c>
      <c r="F154" s="18">
        <v>150</v>
      </c>
      <c r="G154" s="18">
        <v>139</v>
      </c>
      <c r="H154" s="18">
        <v>11</v>
      </c>
      <c r="I154" s="19">
        <v>340</v>
      </c>
      <c r="J154" s="19">
        <v>357.55</v>
      </c>
      <c r="K154" s="17" t="s">
        <v>39</v>
      </c>
      <c r="L154" s="19">
        <f>Table2[[#This Row],[QTA_LOTTO]]*Table2[[#This Row],[COSTO_STD_UNITARIO]]</f>
        <v>51000</v>
      </c>
      <c r="M154" s="19">
        <f>Table2[[#This Row],[QTA_PRODOTTA_EFF]]*Table2[[#This Row],[COSTO_EFF_UNITARIO]]</f>
        <v>49699.450000000004</v>
      </c>
      <c r="N154" s="19">
        <f>Table2[[#This Row],[TOT_EFF_COST (€)]]-Table2[[#This Row],[TOT_STD_COST (€)]]</f>
        <v>-1300.5499999999956</v>
      </c>
      <c r="O154" s="28">
        <f>Table2[[#This Row],[QTA_SCARTO]]/Table2[[#This Row],[QTA_LOTTO]]</f>
        <v>7.3333333333333334E-2</v>
      </c>
      <c r="P154" s="19"/>
      <c r="Q154" s="19"/>
    </row>
    <row r="155" spans="1:17" x14ac:dyDescent="0.3">
      <c r="A155" s="17" t="s">
        <v>345</v>
      </c>
      <c r="B155" s="21">
        <v>46278</v>
      </c>
      <c r="C155" s="17" t="s">
        <v>28</v>
      </c>
      <c r="D155" s="17" t="s">
        <v>34</v>
      </c>
      <c r="E155" s="17" t="s">
        <v>35</v>
      </c>
      <c r="F155" s="18">
        <v>1000</v>
      </c>
      <c r="G155" s="18">
        <v>991</v>
      </c>
      <c r="H155" s="18">
        <v>9</v>
      </c>
      <c r="I155" s="19">
        <v>210</v>
      </c>
      <c r="J155" s="19">
        <v>205.28</v>
      </c>
      <c r="K155" s="17" t="s">
        <v>25</v>
      </c>
      <c r="L155" s="19">
        <f>Table2[[#This Row],[QTA_LOTTO]]*Table2[[#This Row],[COSTO_STD_UNITARIO]]</f>
        <v>210000</v>
      </c>
      <c r="M155" s="19">
        <f>Table2[[#This Row],[QTA_PRODOTTA_EFF]]*Table2[[#This Row],[COSTO_EFF_UNITARIO]]</f>
        <v>203432.48</v>
      </c>
      <c r="N155" s="19">
        <f>Table2[[#This Row],[TOT_EFF_COST (€)]]-Table2[[#This Row],[TOT_STD_COST (€)]]</f>
        <v>-6567.5199999999895</v>
      </c>
      <c r="O155" s="28">
        <f>Table2[[#This Row],[QTA_SCARTO]]/Table2[[#This Row],[QTA_LOTTO]]</f>
        <v>8.9999999999999993E-3</v>
      </c>
      <c r="P155" s="19"/>
      <c r="Q155" s="19"/>
    </row>
    <row r="156" spans="1:17" x14ac:dyDescent="0.3">
      <c r="A156" s="17" t="s">
        <v>347</v>
      </c>
      <c r="B156" s="21">
        <v>46221</v>
      </c>
      <c r="C156" s="17" t="s">
        <v>13</v>
      </c>
      <c r="D156" s="17" t="s">
        <v>46</v>
      </c>
      <c r="E156" s="17" t="s">
        <v>47</v>
      </c>
      <c r="F156" s="18">
        <v>100</v>
      </c>
      <c r="G156" s="18">
        <v>85</v>
      </c>
      <c r="H156" s="18">
        <v>15</v>
      </c>
      <c r="I156" s="19">
        <v>35</v>
      </c>
      <c r="J156" s="19">
        <v>38.72</v>
      </c>
      <c r="K156" s="17" t="s">
        <v>55</v>
      </c>
      <c r="L156" s="19">
        <f>Table2[[#This Row],[QTA_LOTTO]]*Table2[[#This Row],[COSTO_STD_UNITARIO]]</f>
        <v>3500</v>
      </c>
      <c r="M156" s="19">
        <f>Table2[[#This Row],[QTA_PRODOTTA_EFF]]*Table2[[#This Row],[COSTO_EFF_UNITARIO]]</f>
        <v>3291.2</v>
      </c>
      <c r="N156" s="19">
        <f>Table2[[#This Row],[TOT_EFF_COST (€)]]-Table2[[#This Row],[TOT_STD_COST (€)]]</f>
        <v>-208.80000000000018</v>
      </c>
      <c r="O156" s="28">
        <f>Table2[[#This Row],[QTA_SCARTO]]/Table2[[#This Row],[QTA_LOTTO]]</f>
        <v>0.15</v>
      </c>
      <c r="P156" s="19"/>
      <c r="Q156" s="19"/>
    </row>
    <row r="157" spans="1:17" x14ac:dyDescent="0.3">
      <c r="A157" s="17" t="s">
        <v>349</v>
      </c>
      <c r="B157" s="21">
        <v>46252</v>
      </c>
      <c r="C157" s="17" t="s">
        <v>13</v>
      </c>
      <c r="D157" s="17" t="s">
        <v>29</v>
      </c>
      <c r="E157" s="17" t="s">
        <v>30</v>
      </c>
      <c r="F157" s="18">
        <v>200</v>
      </c>
      <c r="G157" s="18">
        <v>197</v>
      </c>
      <c r="H157" s="18">
        <v>3</v>
      </c>
      <c r="I157" s="19">
        <v>65</v>
      </c>
      <c r="J157" s="19">
        <v>60.55</v>
      </c>
      <c r="K157" s="17" t="s">
        <v>22</v>
      </c>
      <c r="L157" s="19">
        <f>Table2[[#This Row],[QTA_LOTTO]]*Table2[[#This Row],[COSTO_STD_UNITARIO]]</f>
        <v>13000</v>
      </c>
      <c r="M157" s="19">
        <f>Table2[[#This Row],[QTA_PRODOTTA_EFF]]*Table2[[#This Row],[COSTO_EFF_UNITARIO]]</f>
        <v>11928.349999999999</v>
      </c>
      <c r="N157" s="19">
        <f>Table2[[#This Row],[TOT_EFF_COST (€)]]-Table2[[#This Row],[TOT_STD_COST (€)]]</f>
        <v>-1071.6500000000015</v>
      </c>
      <c r="O157" s="28">
        <f>Table2[[#This Row],[QTA_SCARTO]]/Table2[[#This Row],[QTA_LOTTO]]</f>
        <v>1.4999999999999999E-2</v>
      </c>
      <c r="P157" s="19"/>
      <c r="Q157" s="19"/>
    </row>
    <row r="158" spans="1:17" x14ac:dyDescent="0.3">
      <c r="A158" s="17" t="s">
        <v>351</v>
      </c>
      <c r="B158" s="21">
        <v>46339</v>
      </c>
      <c r="C158" s="17" t="s">
        <v>13</v>
      </c>
      <c r="D158" s="17" t="s">
        <v>42</v>
      </c>
      <c r="E158" s="17" t="s">
        <v>43</v>
      </c>
      <c r="F158" s="18">
        <v>300</v>
      </c>
      <c r="G158" s="18">
        <v>297</v>
      </c>
      <c r="H158" s="18">
        <v>3</v>
      </c>
      <c r="I158" s="19">
        <v>150</v>
      </c>
      <c r="J158" s="19">
        <v>145.24</v>
      </c>
      <c r="K158" s="17" t="s">
        <v>16</v>
      </c>
      <c r="L158" s="19">
        <f>Table2[[#This Row],[QTA_LOTTO]]*Table2[[#This Row],[COSTO_STD_UNITARIO]]</f>
        <v>45000</v>
      </c>
      <c r="M158" s="19">
        <f>Table2[[#This Row],[QTA_PRODOTTA_EFF]]*Table2[[#This Row],[COSTO_EFF_UNITARIO]]</f>
        <v>43136.280000000006</v>
      </c>
      <c r="N158" s="19">
        <f>Table2[[#This Row],[TOT_EFF_COST (€)]]-Table2[[#This Row],[TOT_STD_COST (€)]]</f>
        <v>-1863.7199999999939</v>
      </c>
      <c r="O158" s="28">
        <f>Table2[[#This Row],[QTA_SCARTO]]/Table2[[#This Row],[QTA_LOTTO]]</f>
        <v>0.01</v>
      </c>
      <c r="P158" s="19"/>
      <c r="Q158" s="19"/>
    </row>
    <row r="159" spans="1:17" x14ac:dyDescent="0.3">
      <c r="A159" s="17" t="s">
        <v>327</v>
      </c>
      <c r="B159" s="21">
        <v>46317</v>
      </c>
      <c r="C159" s="17" t="s">
        <v>13</v>
      </c>
      <c r="D159" s="17" t="s">
        <v>58</v>
      </c>
      <c r="E159" s="17" t="s">
        <v>59</v>
      </c>
      <c r="F159" s="18">
        <v>150</v>
      </c>
      <c r="G159" s="18">
        <v>126</v>
      </c>
      <c r="H159" s="18">
        <v>24</v>
      </c>
      <c r="I159" s="19">
        <v>340</v>
      </c>
      <c r="J159" s="19">
        <v>357.14</v>
      </c>
      <c r="K159" s="17" t="s">
        <v>55</v>
      </c>
      <c r="L159" s="19">
        <f>Table2[[#This Row],[QTA_LOTTO]]*Table2[[#This Row],[COSTO_STD_UNITARIO]]</f>
        <v>51000</v>
      </c>
      <c r="M159" s="19">
        <f>Table2[[#This Row],[QTA_PRODOTTA_EFF]]*Table2[[#This Row],[COSTO_EFF_UNITARIO]]</f>
        <v>44999.64</v>
      </c>
      <c r="N159" s="19">
        <f>Table2[[#This Row],[TOT_EFF_COST (€)]]-Table2[[#This Row],[TOT_STD_COST (€)]]</f>
        <v>-6000.3600000000006</v>
      </c>
      <c r="O159" s="28">
        <f>Table2[[#This Row],[QTA_SCARTO]]/Table2[[#This Row],[QTA_LOTTO]]</f>
        <v>0.16</v>
      </c>
      <c r="P159" s="19"/>
      <c r="Q159" s="19"/>
    </row>
    <row r="160" spans="1:17" x14ac:dyDescent="0.3">
      <c r="A160" s="17" t="s">
        <v>353</v>
      </c>
      <c r="B160" s="21">
        <v>46313</v>
      </c>
      <c r="C160" s="17" t="s">
        <v>13</v>
      </c>
      <c r="D160" s="17" t="s">
        <v>34</v>
      </c>
      <c r="E160" s="17" t="s">
        <v>35</v>
      </c>
      <c r="F160" s="18">
        <v>250</v>
      </c>
      <c r="G160" s="18">
        <v>248</v>
      </c>
      <c r="H160" s="18">
        <v>2</v>
      </c>
      <c r="I160" s="19">
        <v>210</v>
      </c>
      <c r="J160" s="19">
        <v>205.73</v>
      </c>
      <c r="K160" s="17" t="s">
        <v>22</v>
      </c>
      <c r="L160" s="19">
        <f>Table2[[#This Row],[QTA_LOTTO]]*Table2[[#This Row],[COSTO_STD_UNITARIO]]</f>
        <v>52500</v>
      </c>
      <c r="M160" s="19">
        <f>Table2[[#This Row],[QTA_PRODOTTA_EFF]]*Table2[[#This Row],[COSTO_EFF_UNITARIO]]</f>
        <v>51021.04</v>
      </c>
      <c r="N160" s="19">
        <f>Table2[[#This Row],[TOT_EFF_COST (€)]]-Table2[[#This Row],[TOT_STD_COST (€)]]</f>
        <v>-1478.9599999999991</v>
      </c>
      <c r="O160" s="28">
        <f>Table2[[#This Row],[QTA_SCARTO]]/Table2[[#This Row],[QTA_LOTTO]]</f>
        <v>8.0000000000000002E-3</v>
      </c>
      <c r="P160" s="19"/>
      <c r="Q160" s="19"/>
    </row>
    <row r="161" spans="1:17" x14ac:dyDescent="0.3">
      <c r="A161" s="17" t="s">
        <v>355</v>
      </c>
      <c r="B161" s="21">
        <v>46235</v>
      </c>
      <c r="C161" s="17" t="s">
        <v>28</v>
      </c>
      <c r="D161" s="17" t="s">
        <v>34</v>
      </c>
      <c r="E161" s="17" t="s">
        <v>35</v>
      </c>
      <c r="F161" s="18">
        <v>100</v>
      </c>
      <c r="G161" s="18">
        <v>94</v>
      </c>
      <c r="H161" s="18">
        <v>6</v>
      </c>
      <c r="I161" s="19">
        <v>210</v>
      </c>
      <c r="J161" s="19">
        <v>206.32</v>
      </c>
      <c r="K161" s="17" t="s">
        <v>22</v>
      </c>
      <c r="L161" s="19">
        <f>Table2[[#This Row],[QTA_LOTTO]]*Table2[[#This Row],[COSTO_STD_UNITARIO]]</f>
        <v>21000</v>
      </c>
      <c r="M161" s="19">
        <f>Table2[[#This Row],[QTA_PRODOTTA_EFF]]*Table2[[#This Row],[COSTO_EFF_UNITARIO]]</f>
        <v>19394.079999999998</v>
      </c>
      <c r="N161" s="19">
        <f>Table2[[#This Row],[TOT_EFF_COST (€)]]-Table2[[#This Row],[TOT_STD_COST (€)]]</f>
        <v>-1605.9200000000019</v>
      </c>
      <c r="O161" s="28">
        <f>Table2[[#This Row],[QTA_SCARTO]]/Table2[[#This Row],[QTA_LOTTO]]</f>
        <v>0.06</v>
      </c>
      <c r="P161" s="19"/>
      <c r="Q161" s="19"/>
    </row>
    <row r="162" spans="1:17" x14ac:dyDescent="0.3">
      <c r="A162" s="17" t="s">
        <v>357</v>
      </c>
      <c r="B162" s="21">
        <v>46337</v>
      </c>
      <c r="C162" s="17" t="s">
        <v>13</v>
      </c>
      <c r="D162" s="17" t="s">
        <v>34</v>
      </c>
      <c r="E162" s="17" t="s">
        <v>35</v>
      </c>
      <c r="F162" s="18">
        <v>150</v>
      </c>
      <c r="G162" s="18">
        <v>128</v>
      </c>
      <c r="H162" s="18">
        <v>22</v>
      </c>
      <c r="I162" s="19">
        <v>210</v>
      </c>
      <c r="J162" s="19">
        <v>208.29</v>
      </c>
      <c r="K162" s="17" t="s">
        <v>55</v>
      </c>
      <c r="L162" s="19">
        <f>Table2[[#This Row],[QTA_LOTTO]]*Table2[[#This Row],[COSTO_STD_UNITARIO]]</f>
        <v>31500</v>
      </c>
      <c r="M162" s="19">
        <f>Table2[[#This Row],[QTA_PRODOTTA_EFF]]*Table2[[#This Row],[COSTO_EFF_UNITARIO]]</f>
        <v>26661.119999999999</v>
      </c>
      <c r="N162" s="19">
        <f>Table2[[#This Row],[TOT_EFF_COST (€)]]-Table2[[#This Row],[TOT_STD_COST (€)]]</f>
        <v>-4838.880000000001</v>
      </c>
      <c r="O162" s="28">
        <f>Table2[[#This Row],[QTA_SCARTO]]/Table2[[#This Row],[QTA_LOTTO]]</f>
        <v>0.14666666666666667</v>
      </c>
      <c r="P162" s="19"/>
      <c r="Q162" s="19"/>
    </row>
    <row r="163" spans="1:17" x14ac:dyDescent="0.3">
      <c r="A163" s="17" t="s">
        <v>359</v>
      </c>
      <c r="B163" s="21">
        <v>46352</v>
      </c>
      <c r="C163" s="17" t="s">
        <v>13</v>
      </c>
      <c r="D163" s="17" t="s">
        <v>20</v>
      </c>
      <c r="E163" s="17" t="s">
        <v>21</v>
      </c>
      <c r="F163" s="18">
        <v>150</v>
      </c>
      <c r="G163" s="18">
        <v>144</v>
      </c>
      <c r="H163" s="18">
        <v>6</v>
      </c>
      <c r="I163" s="19">
        <v>120</v>
      </c>
      <c r="J163" s="19">
        <v>113.19</v>
      </c>
      <c r="K163" s="17" t="s">
        <v>55</v>
      </c>
      <c r="L163" s="19">
        <f>Table2[[#This Row],[QTA_LOTTO]]*Table2[[#This Row],[COSTO_STD_UNITARIO]]</f>
        <v>18000</v>
      </c>
      <c r="M163" s="19">
        <f>Table2[[#This Row],[QTA_PRODOTTA_EFF]]*Table2[[#This Row],[COSTO_EFF_UNITARIO]]</f>
        <v>16299.36</v>
      </c>
      <c r="N163" s="19">
        <f>Table2[[#This Row],[TOT_EFF_COST (€)]]-Table2[[#This Row],[TOT_STD_COST (€)]]</f>
        <v>-1700.6399999999994</v>
      </c>
      <c r="O163" s="28">
        <f>Table2[[#This Row],[QTA_SCARTO]]/Table2[[#This Row],[QTA_LOTTO]]</f>
        <v>0.04</v>
      </c>
      <c r="P163" s="19"/>
      <c r="Q163" s="19"/>
    </row>
    <row r="164" spans="1:17" x14ac:dyDescent="0.3">
      <c r="A164" s="17" t="s">
        <v>361</v>
      </c>
      <c r="B164" s="21">
        <v>46204</v>
      </c>
      <c r="C164" s="17" t="s">
        <v>38</v>
      </c>
      <c r="D164" s="17" t="s">
        <v>42</v>
      </c>
      <c r="E164" s="17" t="s">
        <v>43</v>
      </c>
      <c r="F164" s="18">
        <v>1000</v>
      </c>
      <c r="G164" s="18">
        <v>984</v>
      </c>
      <c r="H164" s="18">
        <v>16</v>
      </c>
      <c r="I164" s="19">
        <v>150</v>
      </c>
      <c r="J164" s="19">
        <v>146.76</v>
      </c>
      <c r="K164" s="17" t="s">
        <v>22</v>
      </c>
      <c r="L164" s="19">
        <f>Table2[[#This Row],[QTA_LOTTO]]*Table2[[#This Row],[COSTO_STD_UNITARIO]]</f>
        <v>150000</v>
      </c>
      <c r="M164" s="19">
        <f>Table2[[#This Row],[QTA_PRODOTTA_EFF]]*Table2[[#This Row],[COSTO_EFF_UNITARIO]]</f>
        <v>144411.84</v>
      </c>
      <c r="N164" s="19">
        <f>Table2[[#This Row],[TOT_EFF_COST (€)]]-Table2[[#This Row],[TOT_STD_COST (€)]]</f>
        <v>-5588.1600000000035</v>
      </c>
      <c r="O164" s="28">
        <f>Table2[[#This Row],[QTA_SCARTO]]/Table2[[#This Row],[QTA_LOTTO]]</f>
        <v>1.6E-2</v>
      </c>
      <c r="P164" s="19"/>
      <c r="Q164" s="19"/>
    </row>
    <row r="165" spans="1:17" x14ac:dyDescent="0.3">
      <c r="A165" s="17" t="s">
        <v>363</v>
      </c>
      <c r="B165" s="21">
        <v>46248</v>
      </c>
      <c r="C165" s="17" t="s">
        <v>28</v>
      </c>
      <c r="D165" s="17" t="s">
        <v>46</v>
      </c>
      <c r="E165" s="17" t="s">
        <v>47</v>
      </c>
      <c r="F165" s="18">
        <v>300</v>
      </c>
      <c r="G165" s="18">
        <v>281</v>
      </c>
      <c r="H165" s="18">
        <v>19</v>
      </c>
      <c r="I165" s="19">
        <v>35</v>
      </c>
      <c r="J165" s="19">
        <v>38.33</v>
      </c>
      <c r="K165" s="17" t="s">
        <v>55</v>
      </c>
      <c r="L165" s="19">
        <f>Table2[[#This Row],[QTA_LOTTO]]*Table2[[#This Row],[COSTO_STD_UNITARIO]]</f>
        <v>10500</v>
      </c>
      <c r="M165" s="19">
        <f>Table2[[#This Row],[QTA_PRODOTTA_EFF]]*Table2[[#This Row],[COSTO_EFF_UNITARIO]]</f>
        <v>10770.73</v>
      </c>
      <c r="N165" s="19">
        <f>Table2[[#This Row],[TOT_EFF_COST (€)]]-Table2[[#This Row],[TOT_STD_COST (€)]]</f>
        <v>270.72999999999956</v>
      </c>
      <c r="O165" s="28">
        <f>Table2[[#This Row],[QTA_SCARTO]]/Table2[[#This Row],[QTA_LOTTO]]</f>
        <v>6.3333333333333339E-2</v>
      </c>
      <c r="P165" s="19"/>
      <c r="Q165" s="19"/>
    </row>
    <row r="166" spans="1:17" x14ac:dyDescent="0.3">
      <c r="A166" s="17" t="s">
        <v>365</v>
      </c>
      <c r="B166" s="21">
        <v>46330</v>
      </c>
      <c r="C166" s="17" t="s">
        <v>13</v>
      </c>
      <c r="D166" s="17" t="s">
        <v>116</v>
      </c>
      <c r="E166" s="17" t="s">
        <v>117</v>
      </c>
      <c r="F166" s="18">
        <v>250</v>
      </c>
      <c r="G166" s="18">
        <v>243</v>
      </c>
      <c r="H166" s="18">
        <v>7</v>
      </c>
      <c r="I166" s="19">
        <v>28</v>
      </c>
      <c r="J166" s="19">
        <v>27.63</v>
      </c>
      <c r="K166" s="17" t="s">
        <v>55</v>
      </c>
      <c r="L166" s="19">
        <f>Table2[[#This Row],[QTA_LOTTO]]*Table2[[#This Row],[COSTO_STD_UNITARIO]]</f>
        <v>7000</v>
      </c>
      <c r="M166" s="19">
        <f>Table2[[#This Row],[QTA_PRODOTTA_EFF]]*Table2[[#This Row],[COSTO_EFF_UNITARIO]]</f>
        <v>6714.09</v>
      </c>
      <c r="N166" s="19">
        <f>Table2[[#This Row],[TOT_EFF_COST (€)]]-Table2[[#This Row],[TOT_STD_COST (€)]]</f>
        <v>-285.90999999999985</v>
      </c>
      <c r="O166" s="28">
        <f>Table2[[#This Row],[QTA_SCARTO]]/Table2[[#This Row],[QTA_LOTTO]]</f>
        <v>2.8000000000000001E-2</v>
      </c>
      <c r="P166" s="19"/>
      <c r="Q166" s="19"/>
    </row>
    <row r="167" spans="1:17" x14ac:dyDescent="0.3">
      <c r="A167" s="17" t="s">
        <v>367</v>
      </c>
      <c r="B167" s="21">
        <v>46314</v>
      </c>
      <c r="C167" s="17" t="s">
        <v>13</v>
      </c>
      <c r="D167" s="17" t="s">
        <v>14</v>
      </c>
      <c r="E167" s="17" t="s">
        <v>15</v>
      </c>
      <c r="F167" s="18">
        <v>300</v>
      </c>
      <c r="G167" s="18">
        <v>293</v>
      </c>
      <c r="H167" s="18">
        <v>7</v>
      </c>
      <c r="I167" s="19">
        <v>45</v>
      </c>
      <c r="J167" s="19">
        <v>44.21</v>
      </c>
      <c r="K167" s="17" t="s">
        <v>16</v>
      </c>
      <c r="L167" s="19">
        <f>Table2[[#This Row],[QTA_LOTTO]]*Table2[[#This Row],[COSTO_STD_UNITARIO]]</f>
        <v>13500</v>
      </c>
      <c r="M167" s="19">
        <f>Table2[[#This Row],[QTA_PRODOTTA_EFF]]*Table2[[#This Row],[COSTO_EFF_UNITARIO]]</f>
        <v>12953.53</v>
      </c>
      <c r="N167" s="19">
        <f>Table2[[#This Row],[TOT_EFF_COST (€)]]-Table2[[#This Row],[TOT_STD_COST (€)]]</f>
        <v>-546.46999999999935</v>
      </c>
      <c r="O167" s="28">
        <f>Table2[[#This Row],[QTA_SCARTO]]/Table2[[#This Row],[QTA_LOTTO]]</f>
        <v>2.3333333333333334E-2</v>
      </c>
      <c r="P167" s="19"/>
      <c r="Q167" s="19"/>
    </row>
    <row r="168" spans="1:17" x14ac:dyDescent="0.3">
      <c r="A168" s="17" t="s">
        <v>369</v>
      </c>
      <c r="B168" s="21">
        <v>46332</v>
      </c>
      <c r="C168" s="17" t="s">
        <v>38</v>
      </c>
      <c r="D168" s="17" t="s">
        <v>14</v>
      </c>
      <c r="E168" s="17" t="s">
        <v>15</v>
      </c>
      <c r="F168" s="18">
        <v>200</v>
      </c>
      <c r="G168" s="18">
        <v>196</v>
      </c>
      <c r="H168" s="18">
        <v>4</v>
      </c>
      <c r="I168" s="19">
        <v>45</v>
      </c>
      <c r="J168" s="19">
        <v>43.06</v>
      </c>
      <c r="K168" s="17" t="s">
        <v>55</v>
      </c>
      <c r="L168" s="19">
        <f>Table2[[#This Row],[QTA_LOTTO]]*Table2[[#This Row],[COSTO_STD_UNITARIO]]</f>
        <v>9000</v>
      </c>
      <c r="M168" s="19">
        <f>Table2[[#This Row],[QTA_PRODOTTA_EFF]]*Table2[[#This Row],[COSTO_EFF_UNITARIO]]</f>
        <v>8439.76</v>
      </c>
      <c r="N168" s="19">
        <f>Table2[[#This Row],[TOT_EFF_COST (€)]]-Table2[[#This Row],[TOT_STD_COST (€)]]</f>
        <v>-560.23999999999978</v>
      </c>
      <c r="O168" s="28">
        <f>Table2[[#This Row],[QTA_SCARTO]]/Table2[[#This Row],[QTA_LOTTO]]</f>
        <v>0.02</v>
      </c>
      <c r="P168" s="19"/>
      <c r="Q168" s="19"/>
    </row>
    <row r="169" spans="1:17" x14ac:dyDescent="0.3">
      <c r="A169" s="17" t="s">
        <v>371</v>
      </c>
      <c r="B169" s="21">
        <v>46291</v>
      </c>
      <c r="C169" s="17" t="s">
        <v>13</v>
      </c>
      <c r="D169" s="17" t="s">
        <v>116</v>
      </c>
      <c r="E169" s="17" t="s">
        <v>117</v>
      </c>
      <c r="F169" s="18">
        <v>150</v>
      </c>
      <c r="G169" s="18">
        <v>134</v>
      </c>
      <c r="H169" s="18">
        <v>16</v>
      </c>
      <c r="I169" s="19">
        <v>28</v>
      </c>
      <c r="J169" s="19">
        <v>26.03</v>
      </c>
      <c r="K169" s="17" t="s">
        <v>55</v>
      </c>
      <c r="L169" s="19">
        <f>Table2[[#This Row],[QTA_LOTTO]]*Table2[[#This Row],[COSTO_STD_UNITARIO]]</f>
        <v>4200</v>
      </c>
      <c r="M169" s="19">
        <f>Table2[[#This Row],[QTA_PRODOTTA_EFF]]*Table2[[#This Row],[COSTO_EFF_UNITARIO]]</f>
        <v>3488.02</v>
      </c>
      <c r="N169" s="19">
        <f>Table2[[#This Row],[TOT_EFF_COST (€)]]-Table2[[#This Row],[TOT_STD_COST (€)]]</f>
        <v>-711.98</v>
      </c>
      <c r="O169" s="28">
        <f>Table2[[#This Row],[QTA_SCARTO]]/Table2[[#This Row],[QTA_LOTTO]]</f>
        <v>0.10666666666666667</v>
      </c>
      <c r="P169" s="19"/>
      <c r="Q169" s="19"/>
    </row>
    <row r="170" spans="1:17" x14ac:dyDescent="0.3">
      <c r="A170" s="17" t="s">
        <v>373</v>
      </c>
      <c r="B170" s="21">
        <v>46288</v>
      </c>
      <c r="C170" s="17" t="s">
        <v>28</v>
      </c>
      <c r="D170" s="17" t="s">
        <v>42</v>
      </c>
      <c r="E170" s="17" t="s">
        <v>43</v>
      </c>
      <c r="F170" s="18">
        <v>150</v>
      </c>
      <c r="G170" s="18">
        <v>132</v>
      </c>
      <c r="H170" s="18">
        <v>18</v>
      </c>
      <c r="I170" s="19">
        <v>150</v>
      </c>
      <c r="J170" s="19">
        <v>143.91</v>
      </c>
      <c r="K170" s="17" t="s">
        <v>55</v>
      </c>
      <c r="L170" s="19">
        <f>Table2[[#This Row],[QTA_LOTTO]]*Table2[[#This Row],[COSTO_STD_UNITARIO]]</f>
        <v>22500</v>
      </c>
      <c r="M170" s="19">
        <f>Table2[[#This Row],[QTA_PRODOTTA_EFF]]*Table2[[#This Row],[COSTO_EFF_UNITARIO]]</f>
        <v>18996.12</v>
      </c>
      <c r="N170" s="19">
        <f>Table2[[#This Row],[TOT_EFF_COST (€)]]-Table2[[#This Row],[TOT_STD_COST (€)]]</f>
        <v>-3503.880000000001</v>
      </c>
      <c r="O170" s="28">
        <f>Table2[[#This Row],[QTA_SCARTO]]/Table2[[#This Row],[QTA_LOTTO]]</f>
        <v>0.12</v>
      </c>
      <c r="P170" s="19"/>
      <c r="Q170" s="19"/>
    </row>
    <row r="171" spans="1:17" x14ac:dyDescent="0.3">
      <c r="A171" s="17" t="s">
        <v>374</v>
      </c>
      <c r="B171" s="21">
        <v>46302</v>
      </c>
      <c r="C171" s="17" t="s">
        <v>28</v>
      </c>
      <c r="D171" s="17" t="s">
        <v>20</v>
      </c>
      <c r="E171" s="17" t="s">
        <v>21</v>
      </c>
      <c r="F171" s="18">
        <v>500</v>
      </c>
      <c r="G171" s="18">
        <v>479</v>
      </c>
      <c r="H171" s="18">
        <v>21</v>
      </c>
      <c r="I171" s="19">
        <v>120</v>
      </c>
      <c r="J171" s="19">
        <v>115.35</v>
      </c>
      <c r="K171" s="17" t="s">
        <v>39</v>
      </c>
      <c r="L171" s="19">
        <f>Table2[[#This Row],[QTA_LOTTO]]*Table2[[#This Row],[COSTO_STD_UNITARIO]]</f>
        <v>60000</v>
      </c>
      <c r="M171" s="19">
        <f>Table2[[#This Row],[QTA_PRODOTTA_EFF]]*Table2[[#This Row],[COSTO_EFF_UNITARIO]]</f>
        <v>55252.649999999994</v>
      </c>
      <c r="N171" s="19">
        <f>Table2[[#This Row],[TOT_EFF_COST (€)]]-Table2[[#This Row],[TOT_STD_COST (€)]]</f>
        <v>-4747.3500000000058</v>
      </c>
      <c r="O171" s="28">
        <f>Table2[[#This Row],[QTA_SCARTO]]/Table2[[#This Row],[QTA_LOTTO]]</f>
        <v>4.2000000000000003E-2</v>
      </c>
      <c r="P171" s="19"/>
      <c r="Q171" s="19"/>
    </row>
    <row r="172" spans="1:17" x14ac:dyDescent="0.3">
      <c r="A172" s="17" t="s">
        <v>376</v>
      </c>
      <c r="B172" s="21">
        <v>46277</v>
      </c>
      <c r="C172" s="17" t="s">
        <v>28</v>
      </c>
      <c r="D172" s="17" t="s">
        <v>89</v>
      </c>
      <c r="E172" s="17" t="s">
        <v>90</v>
      </c>
      <c r="F172" s="18">
        <v>1000</v>
      </c>
      <c r="G172" s="18">
        <v>980</v>
      </c>
      <c r="H172" s="18">
        <v>20</v>
      </c>
      <c r="I172" s="19">
        <v>85</v>
      </c>
      <c r="J172" s="19">
        <v>87.63</v>
      </c>
      <c r="K172" s="17" t="s">
        <v>55</v>
      </c>
      <c r="L172" s="19">
        <f>Table2[[#This Row],[QTA_LOTTO]]*Table2[[#This Row],[COSTO_STD_UNITARIO]]</f>
        <v>85000</v>
      </c>
      <c r="M172" s="19">
        <f>Table2[[#This Row],[QTA_PRODOTTA_EFF]]*Table2[[#This Row],[COSTO_EFF_UNITARIO]]</f>
        <v>85877.4</v>
      </c>
      <c r="N172" s="19">
        <f>Table2[[#This Row],[TOT_EFF_COST (€)]]-Table2[[#This Row],[TOT_STD_COST (€)]]</f>
        <v>877.39999999999418</v>
      </c>
      <c r="O172" s="28">
        <f>Table2[[#This Row],[QTA_SCARTO]]/Table2[[#This Row],[QTA_LOTTO]]</f>
        <v>0.02</v>
      </c>
      <c r="P172" s="19"/>
      <c r="Q172" s="19"/>
    </row>
    <row r="173" spans="1:17" x14ac:dyDescent="0.3">
      <c r="A173" s="17" t="s">
        <v>378</v>
      </c>
      <c r="B173" s="21">
        <v>46266</v>
      </c>
      <c r="C173" s="17" t="s">
        <v>13</v>
      </c>
      <c r="D173" s="17" t="s">
        <v>58</v>
      </c>
      <c r="E173" s="17" t="s">
        <v>59</v>
      </c>
      <c r="F173" s="18">
        <v>200</v>
      </c>
      <c r="G173" s="18">
        <v>178</v>
      </c>
      <c r="H173" s="18">
        <v>22</v>
      </c>
      <c r="I173" s="19">
        <v>340</v>
      </c>
      <c r="J173" s="19">
        <v>354.3</v>
      </c>
      <c r="K173" s="17" t="s">
        <v>39</v>
      </c>
      <c r="L173" s="19">
        <f>Table2[[#This Row],[QTA_LOTTO]]*Table2[[#This Row],[COSTO_STD_UNITARIO]]</f>
        <v>68000</v>
      </c>
      <c r="M173" s="19">
        <f>Table2[[#This Row],[QTA_PRODOTTA_EFF]]*Table2[[#This Row],[COSTO_EFF_UNITARIO]]</f>
        <v>63065.4</v>
      </c>
      <c r="N173" s="19">
        <f>Table2[[#This Row],[TOT_EFF_COST (€)]]-Table2[[#This Row],[TOT_STD_COST (€)]]</f>
        <v>-4934.5999999999985</v>
      </c>
      <c r="O173" s="28">
        <f>Table2[[#This Row],[QTA_SCARTO]]/Table2[[#This Row],[QTA_LOTTO]]</f>
        <v>0.11</v>
      </c>
      <c r="P173" s="19"/>
      <c r="Q173" s="19"/>
    </row>
    <row r="174" spans="1:17" x14ac:dyDescent="0.3">
      <c r="A174" s="17" t="s">
        <v>380</v>
      </c>
      <c r="B174" s="21">
        <v>46306</v>
      </c>
      <c r="C174" s="17" t="s">
        <v>13</v>
      </c>
      <c r="D174" s="17" t="s">
        <v>34</v>
      </c>
      <c r="E174" s="17" t="s">
        <v>35</v>
      </c>
      <c r="F174" s="18">
        <v>300</v>
      </c>
      <c r="G174" s="18">
        <v>285</v>
      </c>
      <c r="H174" s="18">
        <v>15</v>
      </c>
      <c r="I174" s="19">
        <v>210</v>
      </c>
      <c r="J174" s="19">
        <v>205.08</v>
      </c>
      <c r="K174" s="17" t="s">
        <v>22</v>
      </c>
      <c r="L174" s="19">
        <f>Table2[[#This Row],[QTA_LOTTO]]*Table2[[#This Row],[COSTO_STD_UNITARIO]]</f>
        <v>63000</v>
      </c>
      <c r="M174" s="19">
        <f>Table2[[#This Row],[QTA_PRODOTTA_EFF]]*Table2[[#This Row],[COSTO_EFF_UNITARIO]]</f>
        <v>58447.8</v>
      </c>
      <c r="N174" s="19">
        <f>Table2[[#This Row],[TOT_EFF_COST (€)]]-Table2[[#This Row],[TOT_STD_COST (€)]]</f>
        <v>-4552.1999999999971</v>
      </c>
      <c r="O174" s="28">
        <f>Table2[[#This Row],[QTA_SCARTO]]/Table2[[#This Row],[QTA_LOTTO]]</f>
        <v>0.05</v>
      </c>
      <c r="P174" s="19"/>
      <c r="Q174" s="19"/>
    </row>
    <row r="175" spans="1:17" x14ac:dyDescent="0.3">
      <c r="A175" s="17" t="s">
        <v>382</v>
      </c>
      <c r="B175" s="21">
        <v>46220</v>
      </c>
      <c r="C175" s="17" t="s">
        <v>38</v>
      </c>
      <c r="D175" s="17" t="s">
        <v>14</v>
      </c>
      <c r="E175" s="17" t="s">
        <v>15</v>
      </c>
      <c r="F175" s="18">
        <v>1000</v>
      </c>
      <c r="G175" s="18">
        <v>986</v>
      </c>
      <c r="H175" s="18">
        <v>14</v>
      </c>
      <c r="I175" s="19">
        <v>45</v>
      </c>
      <c r="J175" s="19">
        <v>44.83</v>
      </c>
      <c r="K175" s="17" t="s">
        <v>55</v>
      </c>
      <c r="L175" s="19">
        <f>Table2[[#This Row],[QTA_LOTTO]]*Table2[[#This Row],[COSTO_STD_UNITARIO]]</f>
        <v>45000</v>
      </c>
      <c r="M175" s="19">
        <f>Table2[[#This Row],[QTA_PRODOTTA_EFF]]*Table2[[#This Row],[COSTO_EFF_UNITARIO]]</f>
        <v>44202.38</v>
      </c>
      <c r="N175" s="19">
        <f>Table2[[#This Row],[TOT_EFF_COST (€)]]-Table2[[#This Row],[TOT_STD_COST (€)]]</f>
        <v>-797.62000000000262</v>
      </c>
      <c r="O175" s="28">
        <f>Table2[[#This Row],[QTA_SCARTO]]/Table2[[#This Row],[QTA_LOTTO]]</f>
        <v>1.4E-2</v>
      </c>
      <c r="P175" s="19"/>
      <c r="Q175" s="19"/>
    </row>
    <row r="176" spans="1:17" x14ac:dyDescent="0.3">
      <c r="A176" s="17" t="s">
        <v>384</v>
      </c>
      <c r="B176" s="21">
        <v>46264</v>
      </c>
      <c r="C176" s="17" t="s">
        <v>28</v>
      </c>
      <c r="D176" s="17" t="s">
        <v>46</v>
      </c>
      <c r="E176" s="17" t="s">
        <v>47</v>
      </c>
      <c r="F176" s="18">
        <v>500</v>
      </c>
      <c r="G176" s="18">
        <v>493</v>
      </c>
      <c r="H176" s="18">
        <v>7</v>
      </c>
      <c r="I176" s="19">
        <v>35</v>
      </c>
      <c r="J176" s="19">
        <v>40.619999999999997</v>
      </c>
      <c r="K176" s="17" t="s">
        <v>16</v>
      </c>
      <c r="L176" s="19">
        <f>Table2[[#This Row],[QTA_LOTTO]]*Table2[[#This Row],[COSTO_STD_UNITARIO]]</f>
        <v>17500</v>
      </c>
      <c r="M176" s="19">
        <f>Table2[[#This Row],[QTA_PRODOTTA_EFF]]*Table2[[#This Row],[COSTO_EFF_UNITARIO]]</f>
        <v>20025.66</v>
      </c>
      <c r="N176" s="19">
        <f>Table2[[#This Row],[TOT_EFF_COST (€)]]-Table2[[#This Row],[TOT_STD_COST (€)]]</f>
        <v>2525.66</v>
      </c>
      <c r="O176" s="28">
        <f>Table2[[#This Row],[QTA_SCARTO]]/Table2[[#This Row],[QTA_LOTTO]]</f>
        <v>1.4E-2</v>
      </c>
      <c r="P176" s="19"/>
      <c r="Q176" s="19"/>
    </row>
    <row r="177" spans="1:17" x14ac:dyDescent="0.3">
      <c r="A177" s="17" t="s">
        <v>386</v>
      </c>
      <c r="B177" s="21">
        <v>46294</v>
      </c>
      <c r="C177" s="17" t="s">
        <v>28</v>
      </c>
      <c r="D177" s="17" t="s">
        <v>89</v>
      </c>
      <c r="E177" s="17" t="s">
        <v>90</v>
      </c>
      <c r="F177" s="18">
        <v>200</v>
      </c>
      <c r="G177" s="18">
        <v>180</v>
      </c>
      <c r="H177" s="18">
        <v>20</v>
      </c>
      <c r="I177" s="19">
        <v>85</v>
      </c>
      <c r="J177" s="19">
        <v>89.83</v>
      </c>
      <c r="K177" s="17" t="s">
        <v>22</v>
      </c>
      <c r="L177" s="19">
        <f>Table2[[#This Row],[QTA_LOTTO]]*Table2[[#This Row],[COSTO_STD_UNITARIO]]</f>
        <v>17000</v>
      </c>
      <c r="M177" s="19">
        <f>Table2[[#This Row],[QTA_PRODOTTA_EFF]]*Table2[[#This Row],[COSTO_EFF_UNITARIO]]</f>
        <v>16169.4</v>
      </c>
      <c r="N177" s="19">
        <f>Table2[[#This Row],[TOT_EFF_COST (€)]]-Table2[[#This Row],[TOT_STD_COST (€)]]</f>
        <v>-830.60000000000036</v>
      </c>
      <c r="O177" s="28">
        <f>Table2[[#This Row],[QTA_SCARTO]]/Table2[[#This Row],[QTA_LOTTO]]</f>
        <v>0.1</v>
      </c>
      <c r="P177" s="19"/>
      <c r="Q177" s="19"/>
    </row>
    <row r="178" spans="1:17" x14ac:dyDescent="0.3">
      <c r="A178" s="17" t="s">
        <v>388</v>
      </c>
      <c r="B178" s="21">
        <v>46215</v>
      </c>
      <c r="C178" s="17" t="s">
        <v>38</v>
      </c>
      <c r="D178" s="17" t="s">
        <v>14</v>
      </c>
      <c r="E178" s="17" t="s">
        <v>15</v>
      </c>
      <c r="F178" s="18">
        <v>150</v>
      </c>
      <c r="G178" s="18">
        <v>134</v>
      </c>
      <c r="H178" s="18">
        <v>16</v>
      </c>
      <c r="I178" s="19">
        <v>45</v>
      </c>
      <c r="J178" s="19">
        <v>42.99</v>
      </c>
      <c r="K178" s="17" t="s">
        <v>55</v>
      </c>
      <c r="L178" s="19">
        <f>Table2[[#This Row],[QTA_LOTTO]]*Table2[[#This Row],[COSTO_STD_UNITARIO]]</f>
        <v>6750</v>
      </c>
      <c r="M178" s="19">
        <f>Table2[[#This Row],[QTA_PRODOTTA_EFF]]*Table2[[#This Row],[COSTO_EFF_UNITARIO]]</f>
        <v>5760.66</v>
      </c>
      <c r="N178" s="19">
        <f>Table2[[#This Row],[TOT_EFF_COST (€)]]-Table2[[#This Row],[TOT_STD_COST (€)]]</f>
        <v>-989.34000000000015</v>
      </c>
      <c r="O178" s="28">
        <f>Table2[[#This Row],[QTA_SCARTO]]/Table2[[#This Row],[QTA_LOTTO]]</f>
        <v>0.10666666666666667</v>
      </c>
      <c r="P178" s="19"/>
      <c r="Q178" s="19"/>
    </row>
    <row r="179" spans="1:17" x14ac:dyDescent="0.3">
      <c r="A179" s="17" t="s">
        <v>389</v>
      </c>
      <c r="B179" s="21">
        <v>46282</v>
      </c>
      <c r="C179" s="17" t="s">
        <v>38</v>
      </c>
      <c r="D179" s="17" t="s">
        <v>34</v>
      </c>
      <c r="E179" s="17" t="s">
        <v>35</v>
      </c>
      <c r="F179" s="18">
        <v>500</v>
      </c>
      <c r="G179" s="18">
        <v>497</v>
      </c>
      <c r="H179" s="18">
        <v>3</v>
      </c>
      <c r="I179" s="19">
        <v>210</v>
      </c>
      <c r="J179" s="19">
        <v>205.64</v>
      </c>
      <c r="K179" s="17" t="s">
        <v>25</v>
      </c>
      <c r="L179" s="19">
        <f>Table2[[#This Row],[QTA_LOTTO]]*Table2[[#This Row],[COSTO_STD_UNITARIO]]</f>
        <v>105000</v>
      </c>
      <c r="M179" s="19">
        <f>Table2[[#This Row],[QTA_PRODOTTA_EFF]]*Table2[[#This Row],[COSTO_EFF_UNITARIO]]</f>
        <v>102203.07999999999</v>
      </c>
      <c r="N179" s="19">
        <f>Table2[[#This Row],[TOT_EFF_COST (€)]]-Table2[[#This Row],[TOT_STD_COST (€)]]</f>
        <v>-2796.9200000000128</v>
      </c>
      <c r="O179" s="28">
        <f>Table2[[#This Row],[QTA_SCARTO]]/Table2[[#This Row],[QTA_LOTTO]]</f>
        <v>6.0000000000000001E-3</v>
      </c>
      <c r="P179" s="19"/>
      <c r="Q179" s="19"/>
    </row>
    <row r="180" spans="1:17" x14ac:dyDescent="0.3">
      <c r="A180" s="17" t="s">
        <v>391</v>
      </c>
      <c r="B180" s="21">
        <v>46356</v>
      </c>
      <c r="C180" s="17" t="s">
        <v>13</v>
      </c>
      <c r="D180" s="17" t="s">
        <v>46</v>
      </c>
      <c r="E180" s="17" t="s">
        <v>47</v>
      </c>
      <c r="F180" s="18">
        <v>300</v>
      </c>
      <c r="G180" s="18">
        <v>286</v>
      </c>
      <c r="H180" s="18">
        <v>14</v>
      </c>
      <c r="I180" s="19">
        <v>35</v>
      </c>
      <c r="J180" s="19">
        <v>38</v>
      </c>
      <c r="K180" s="17" t="s">
        <v>39</v>
      </c>
      <c r="L180" s="19">
        <f>Table2[[#This Row],[QTA_LOTTO]]*Table2[[#This Row],[COSTO_STD_UNITARIO]]</f>
        <v>10500</v>
      </c>
      <c r="M180" s="19">
        <f>Table2[[#This Row],[QTA_PRODOTTA_EFF]]*Table2[[#This Row],[COSTO_EFF_UNITARIO]]</f>
        <v>10868</v>
      </c>
      <c r="N180" s="19">
        <f>Table2[[#This Row],[TOT_EFF_COST (€)]]-Table2[[#This Row],[TOT_STD_COST (€)]]</f>
        <v>368</v>
      </c>
      <c r="O180" s="28">
        <f>Table2[[#This Row],[QTA_SCARTO]]/Table2[[#This Row],[QTA_LOTTO]]</f>
        <v>4.6666666666666669E-2</v>
      </c>
      <c r="P180" s="19"/>
      <c r="Q180" s="19"/>
    </row>
    <row r="181" spans="1:17" x14ac:dyDescent="0.3">
      <c r="A181" s="17" t="s">
        <v>393</v>
      </c>
      <c r="B181" s="21">
        <v>46290</v>
      </c>
      <c r="C181" s="17" t="s">
        <v>38</v>
      </c>
      <c r="D181" s="17" t="s">
        <v>58</v>
      </c>
      <c r="E181" s="17" t="s">
        <v>59</v>
      </c>
      <c r="F181" s="18">
        <v>150</v>
      </c>
      <c r="G181" s="18">
        <v>147</v>
      </c>
      <c r="H181" s="18">
        <v>3</v>
      </c>
      <c r="I181" s="19">
        <v>340</v>
      </c>
      <c r="J181" s="19">
        <v>357.29</v>
      </c>
      <c r="K181" s="17" t="s">
        <v>16</v>
      </c>
      <c r="L181" s="19">
        <f>Table2[[#This Row],[QTA_LOTTO]]*Table2[[#This Row],[COSTO_STD_UNITARIO]]</f>
        <v>51000</v>
      </c>
      <c r="M181" s="19">
        <f>Table2[[#This Row],[QTA_PRODOTTA_EFF]]*Table2[[#This Row],[COSTO_EFF_UNITARIO]]</f>
        <v>52521.630000000005</v>
      </c>
      <c r="N181" s="19">
        <f>Table2[[#This Row],[TOT_EFF_COST (€)]]-Table2[[#This Row],[TOT_STD_COST (€)]]</f>
        <v>1521.6300000000047</v>
      </c>
      <c r="O181" s="28">
        <f>Table2[[#This Row],[QTA_SCARTO]]/Table2[[#This Row],[QTA_LOTTO]]</f>
        <v>0.02</v>
      </c>
      <c r="P181" s="19"/>
      <c r="Q181" s="19"/>
    </row>
  </sheetData>
  <phoneticPr fontId="4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D090-10F6-48E1-A770-E8DA5E22A764}">
  <sheetPr>
    <tabColor theme="6"/>
  </sheetPr>
  <dimension ref="A1:F181"/>
  <sheetViews>
    <sheetView workbookViewId="0">
      <selection activeCell="A2" sqref="A2:B10"/>
    </sheetView>
  </sheetViews>
  <sheetFormatPr defaultRowHeight="14.4" x14ac:dyDescent="0.3"/>
  <cols>
    <col min="1" max="1" width="18.88671875" customWidth="1"/>
    <col min="2" max="2" width="36.6640625" bestFit="1" customWidth="1"/>
    <col min="4" max="4" width="22.33203125" style="10" bestFit="1" customWidth="1"/>
    <col min="6" max="6" width="23.21875" style="10" bestFit="1" customWidth="1"/>
  </cols>
  <sheetData>
    <row r="1" spans="1:6" x14ac:dyDescent="0.3">
      <c r="A1" s="4" t="s">
        <v>3</v>
      </c>
      <c r="B1" s="4" t="s">
        <v>4</v>
      </c>
      <c r="D1" s="13" t="s">
        <v>10</v>
      </c>
      <c r="F1" s="6" t="s">
        <v>2</v>
      </c>
    </row>
    <row r="2" spans="1:6" x14ac:dyDescent="0.3">
      <c r="A2" s="5" t="s">
        <v>20</v>
      </c>
      <c r="B2" s="5" t="s">
        <v>21</v>
      </c>
      <c r="D2" s="7" t="s">
        <v>16</v>
      </c>
      <c r="F2" s="7" t="s">
        <v>13</v>
      </c>
    </row>
    <row r="3" spans="1:6" x14ac:dyDescent="0.3">
      <c r="A3" s="2" t="s">
        <v>89</v>
      </c>
      <c r="B3" s="2" t="s">
        <v>90</v>
      </c>
      <c r="D3" s="8" t="s">
        <v>22</v>
      </c>
      <c r="F3" s="8" t="s">
        <v>19</v>
      </c>
    </row>
    <row r="4" spans="1:6" x14ac:dyDescent="0.3">
      <c r="A4" s="3" t="s">
        <v>42</v>
      </c>
      <c r="B4" s="3" t="s">
        <v>43</v>
      </c>
      <c r="D4" s="9" t="s">
        <v>25</v>
      </c>
      <c r="F4" s="8" t="s">
        <v>28</v>
      </c>
    </row>
    <row r="5" spans="1:6" x14ac:dyDescent="0.3">
      <c r="A5" s="3" t="s">
        <v>34</v>
      </c>
      <c r="B5" s="3" t="s">
        <v>35</v>
      </c>
      <c r="D5" s="8" t="s">
        <v>395</v>
      </c>
      <c r="F5" s="9" t="s">
        <v>38</v>
      </c>
    </row>
    <row r="6" spans="1:6" x14ac:dyDescent="0.3">
      <c r="A6" s="2" t="s">
        <v>29</v>
      </c>
      <c r="B6" s="2" t="s">
        <v>30</v>
      </c>
      <c r="D6" s="8" t="s">
        <v>39</v>
      </c>
      <c r="F6" s="9" t="s">
        <v>66</v>
      </c>
    </row>
    <row r="7" spans="1:6" x14ac:dyDescent="0.3">
      <c r="A7" s="2" t="s">
        <v>58</v>
      </c>
      <c r="B7" s="2" t="s">
        <v>59</v>
      </c>
      <c r="D7" s="9" t="s">
        <v>55</v>
      </c>
      <c r="F7"/>
    </row>
    <row r="8" spans="1:6" x14ac:dyDescent="0.3">
      <c r="A8" s="3" t="s">
        <v>14</v>
      </c>
      <c r="B8" s="3" t="s">
        <v>15</v>
      </c>
      <c r="D8"/>
      <c r="F8"/>
    </row>
    <row r="9" spans="1:6" x14ac:dyDescent="0.3">
      <c r="A9" s="3" t="s">
        <v>116</v>
      </c>
      <c r="B9" s="3" t="s">
        <v>117</v>
      </c>
      <c r="D9"/>
      <c r="F9"/>
    </row>
    <row r="10" spans="1:6" x14ac:dyDescent="0.3">
      <c r="A10" s="2" t="s">
        <v>46</v>
      </c>
      <c r="B10" s="2" t="s">
        <v>47</v>
      </c>
      <c r="D10"/>
      <c r="F10"/>
    </row>
    <row r="11" spans="1:6" x14ac:dyDescent="0.3">
      <c r="D11"/>
      <c r="F11"/>
    </row>
    <row r="12" spans="1:6" x14ac:dyDescent="0.3">
      <c r="D12"/>
      <c r="F12"/>
    </row>
    <row r="13" spans="1:6" x14ac:dyDescent="0.3">
      <c r="D13"/>
      <c r="F13"/>
    </row>
    <row r="14" spans="1:6" x14ac:dyDescent="0.3">
      <c r="D14"/>
      <c r="F14"/>
    </row>
    <row r="15" spans="1:6" x14ac:dyDescent="0.3">
      <c r="D15"/>
      <c r="F15"/>
    </row>
    <row r="16" spans="1:6" x14ac:dyDescent="0.3">
      <c r="D16"/>
      <c r="F16"/>
    </row>
    <row r="17" spans="4:6" x14ac:dyDescent="0.3">
      <c r="D17"/>
      <c r="F17"/>
    </row>
    <row r="18" spans="4:6" x14ac:dyDescent="0.3">
      <c r="D18"/>
      <c r="F18"/>
    </row>
    <row r="19" spans="4:6" x14ac:dyDescent="0.3">
      <c r="D19"/>
      <c r="F19"/>
    </row>
    <row r="20" spans="4:6" x14ac:dyDescent="0.3">
      <c r="D20"/>
      <c r="F20"/>
    </row>
    <row r="21" spans="4:6" x14ac:dyDescent="0.3">
      <c r="D21"/>
      <c r="F21"/>
    </row>
    <row r="22" spans="4:6" x14ac:dyDescent="0.3">
      <c r="D22"/>
      <c r="F22"/>
    </row>
    <row r="23" spans="4:6" x14ac:dyDescent="0.3">
      <c r="D23"/>
      <c r="F23"/>
    </row>
    <row r="24" spans="4:6" x14ac:dyDescent="0.3">
      <c r="D24"/>
      <c r="F24"/>
    </row>
    <row r="25" spans="4:6" x14ac:dyDescent="0.3">
      <c r="D25"/>
      <c r="F25"/>
    </row>
    <row r="26" spans="4:6" x14ac:dyDescent="0.3">
      <c r="D26"/>
      <c r="F26"/>
    </row>
    <row r="27" spans="4:6" x14ac:dyDescent="0.3">
      <c r="D27"/>
      <c r="F27"/>
    </row>
    <row r="28" spans="4:6" x14ac:dyDescent="0.3">
      <c r="D28"/>
      <c r="F28"/>
    </row>
    <row r="29" spans="4:6" x14ac:dyDescent="0.3">
      <c r="D29"/>
      <c r="F29"/>
    </row>
    <row r="30" spans="4:6" x14ac:dyDescent="0.3">
      <c r="D30"/>
      <c r="F30"/>
    </row>
    <row r="31" spans="4:6" x14ac:dyDescent="0.3">
      <c r="D31"/>
      <c r="F31"/>
    </row>
    <row r="32" spans="4:6" x14ac:dyDescent="0.3">
      <c r="D32"/>
      <c r="F32"/>
    </row>
    <row r="33" spans="4:6" x14ac:dyDescent="0.3">
      <c r="D33"/>
      <c r="F33"/>
    </row>
    <row r="34" spans="4:6" x14ac:dyDescent="0.3">
      <c r="D34"/>
      <c r="F34"/>
    </row>
    <row r="35" spans="4:6" x14ac:dyDescent="0.3">
      <c r="D35"/>
      <c r="F35"/>
    </row>
    <row r="36" spans="4:6" x14ac:dyDescent="0.3">
      <c r="D36"/>
      <c r="F36"/>
    </row>
    <row r="37" spans="4:6" x14ac:dyDescent="0.3">
      <c r="D37"/>
      <c r="F37"/>
    </row>
    <row r="38" spans="4:6" x14ac:dyDescent="0.3">
      <c r="D38"/>
      <c r="F38"/>
    </row>
    <row r="39" spans="4:6" x14ac:dyDescent="0.3">
      <c r="D39"/>
      <c r="F39"/>
    </row>
    <row r="40" spans="4:6" x14ac:dyDescent="0.3">
      <c r="D40"/>
      <c r="F40"/>
    </row>
    <row r="41" spans="4:6" x14ac:dyDescent="0.3">
      <c r="D41"/>
      <c r="F41"/>
    </row>
    <row r="42" spans="4:6" x14ac:dyDescent="0.3">
      <c r="D42"/>
      <c r="F42"/>
    </row>
    <row r="43" spans="4:6" x14ac:dyDescent="0.3">
      <c r="D43"/>
      <c r="F43"/>
    </row>
    <row r="44" spans="4:6" x14ac:dyDescent="0.3">
      <c r="D44"/>
      <c r="F44"/>
    </row>
    <row r="45" spans="4:6" x14ac:dyDescent="0.3">
      <c r="D45"/>
      <c r="F45"/>
    </row>
    <row r="46" spans="4:6" x14ac:dyDescent="0.3">
      <c r="D46"/>
      <c r="F46"/>
    </row>
    <row r="47" spans="4:6" x14ac:dyDescent="0.3">
      <c r="D47"/>
      <c r="F47"/>
    </row>
    <row r="48" spans="4:6" x14ac:dyDescent="0.3">
      <c r="D48"/>
      <c r="F48"/>
    </row>
    <row r="49" spans="4:6" x14ac:dyDescent="0.3">
      <c r="D49"/>
      <c r="F49"/>
    </row>
    <row r="50" spans="4:6" x14ac:dyDescent="0.3">
      <c r="D50"/>
      <c r="F50"/>
    </row>
    <row r="51" spans="4:6" x14ac:dyDescent="0.3">
      <c r="D51"/>
      <c r="F51"/>
    </row>
    <row r="52" spans="4:6" x14ac:dyDescent="0.3">
      <c r="D52"/>
      <c r="F52"/>
    </row>
    <row r="53" spans="4:6" x14ac:dyDescent="0.3">
      <c r="D53"/>
      <c r="F53"/>
    </row>
    <row r="54" spans="4:6" x14ac:dyDescent="0.3">
      <c r="D54"/>
      <c r="F54"/>
    </row>
    <row r="55" spans="4:6" x14ac:dyDescent="0.3">
      <c r="D55"/>
      <c r="F55"/>
    </row>
    <row r="56" spans="4:6" x14ac:dyDescent="0.3">
      <c r="D56"/>
      <c r="F56"/>
    </row>
    <row r="57" spans="4:6" x14ac:dyDescent="0.3">
      <c r="D57"/>
      <c r="F57"/>
    </row>
    <row r="58" spans="4:6" x14ac:dyDescent="0.3">
      <c r="D58"/>
      <c r="F58"/>
    </row>
    <row r="59" spans="4:6" x14ac:dyDescent="0.3">
      <c r="D59"/>
      <c r="F59"/>
    </row>
    <row r="60" spans="4:6" x14ac:dyDescent="0.3">
      <c r="D60"/>
      <c r="F60"/>
    </row>
    <row r="61" spans="4:6" x14ac:dyDescent="0.3">
      <c r="D61"/>
      <c r="F61"/>
    </row>
    <row r="62" spans="4:6" x14ac:dyDescent="0.3">
      <c r="D62"/>
      <c r="F62"/>
    </row>
    <row r="63" spans="4:6" x14ac:dyDescent="0.3">
      <c r="D63"/>
      <c r="F63"/>
    </row>
    <row r="64" spans="4:6" x14ac:dyDescent="0.3">
      <c r="D64"/>
      <c r="F64"/>
    </row>
    <row r="65" spans="4:6" x14ac:dyDescent="0.3">
      <c r="D65"/>
      <c r="F65"/>
    </row>
    <row r="66" spans="4:6" x14ac:dyDescent="0.3">
      <c r="D66"/>
      <c r="F66"/>
    </row>
    <row r="67" spans="4:6" x14ac:dyDescent="0.3">
      <c r="D67"/>
      <c r="F67"/>
    </row>
    <row r="68" spans="4:6" x14ac:dyDescent="0.3">
      <c r="D68"/>
      <c r="F68"/>
    </row>
    <row r="69" spans="4:6" x14ac:dyDescent="0.3">
      <c r="D69"/>
      <c r="F69"/>
    </row>
    <row r="70" spans="4:6" x14ac:dyDescent="0.3">
      <c r="D70"/>
      <c r="F70"/>
    </row>
    <row r="71" spans="4:6" x14ac:dyDescent="0.3">
      <c r="D71"/>
      <c r="F71"/>
    </row>
    <row r="72" spans="4:6" x14ac:dyDescent="0.3">
      <c r="D72"/>
      <c r="F72"/>
    </row>
    <row r="73" spans="4:6" x14ac:dyDescent="0.3">
      <c r="D73"/>
      <c r="F73"/>
    </row>
    <row r="74" spans="4:6" x14ac:dyDescent="0.3">
      <c r="D74"/>
      <c r="F74"/>
    </row>
    <row r="75" spans="4:6" x14ac:dyDescent="0.3">
      <c r="D75"/>
      <c r="F75"/>
    </row>
    <row r="76" spans="4:6" x14ac:dyDescent="0.3">
      <c r="D76"/>
      <c r="F76"/>
    </row>
    <row r="77" spans="4:6" x14ac:dyDescent="0.3">
      <c r="D77"/>
      <c r="F77"/>
    </row>
    <row r="78" spans="4:6" x14ac:dyDescent="0.3">
      <c r="D78"/>
      <c r="F78"/>
    </row>
    <row r="79" spans="4:6" x14ac:dyDescent="0.3">
      <c r="D79"/>
      <c r="F79"/>
    </row>
    <row r="80" spans="4:6" x14ac:dyDescent="0.3">
      <c r="D80"/>
      <c r="F80"/>
    </row>
    <row r="81" spans="4:6" x14ac:dyDescent="0.3">
      <c r="D81"/>
      <c r="F81"/>
    </row>
    <row r="82" spans="4:6" x14ac:dyDescent="0.3">
      <c r="D82"/>
      <c r="F82"/>
    </row>
    <row r="83" spans="4:6" x14ac:dyDescent="0.3">
      <c r="D83"/>
      <c r="F83"/>
    </row>
    <row r="84" spans="4:6" x14ac:dyDescent="0.3">
      <c r="D84"/>
      <c r="F84"/>
    </row>
    <row r="85" spans="4:6" x14ac:dyDescent="0.3">
      <c r="D85"/>
      <c r="F85"/>
    </row>
    <row r="86" spans="4:6" x14ac:dyDescent="0.3">
      <c r="D86"/>
      <c r="F86"/>
    </row>
    <row r="87" spans="4:6" x14ac:dyDescent="0.3">
      <c r="D87"/>
      <c r="F87"/>
    </row>
    <row r="88" spans="4:6" x14ac:dyDescent="0.3">
      <c r="D88"/>
      <c r="F88"/>
    </row>
    <row r="89" spans="4:6" x14ac:dyDescent="0.3">
      <c r="D89"/>
      <c r="F89"/>
    </row>
    <row r="90" spans="4:6" x14ac:dyDescent="0.3">
      <c r="D90"/>
      <c r="F90"/>
    </row>
    <row r="91" spans="4:6" x14ac:dyDescent="0.3">
      <c r="D91"/>
      <c r="F91"/>
    </row>
    <row r="92" spans="4:6" x14ac:dyDescent="0.3">
      <c r="D92"/>
      <c r="F92"/>
    </row>
    <row r="93" spans="4:6" x14ac:dyDescent="0.3">
      <c r="D93"/>
      <c r="F93"/>
    </row>
    <row r="94" spans="4:6" x14ac:dyDescent="0.3">
      <c r="D94"/>
      <c r="F94"/>
    </row>
    <row r="95" spans="4:6" x14ac:dyDescent="0.3">
      <c r="D95"/>
      <c r="F95"/>
    </row>
    <row r="96" spans="4:6" x14ac:dyDescent="0.3">
      <c r="D96"/>
      <c r="F96"/>
    </row>
    <row r="97" spans="4:6" x14ac:dyDescent="0.3">
      <c r="D97"/>
      <c r="F97"/>
    </row>
    <row r="98" spans="4:6" x14ac:dyDescent="0.3">
      <c r="D98"/>
      <c r="F98"/>
    </row>
    <row r="99" spans="4:6" x14ac:dyDescent="0.3">
      <c r="D99"/>
      <c r="F99"/>
    </row>
    <row r="100" spans="4:6" x14ac:dyDescent="0.3">
      <c r="D100"/>
      <c r="F100"/>
    </row>
    <row r="101" spans="4:6" x14ac:dyDescent="0.3">
      <c r="D101"/>
      <c r="F101"/>
    </row>
    <row r="102" spans="4:6" x14ac:dyDescent="0.3">
      <c r="D102"/>
      <c r="F102"/>
    </row>
    <row r="103" spans="4:6" x14ac:dyDescent="0.3">
      <c r="D103"/>
      <c r="F103"/>
    </row>
    <row r="104" spans="4:6" x14ac:dyDescent="0.3">
      <c r="D104"/>
      <c r="F104"/>
    </row>
    <row r="105" spans="4:6" x14ac:dyDescent="0.3">
      <c r="D105"/>
      <c r="F105"/>
    </row>
    <row r="106" spans="4:6" x14ac:dyDescent="0.3">
      <c r="D106"/>
      <c r="F106"/>
    </row>
    <row r="107" spans="4:6" x14ac:dyDescent="0.3">
      <c r="D107"/>
      <c r="F107"/>
    </row>
    <row r="108" spans="4:6" x14ac:dyDescent="0.3">
      <c r="D108"/>
      <c r="F108"/>
    </row>
    <row r="109" spans="4:6" x14ac:dyDescent="0.3">
      <c r="D109"/>
      <c r="F109"/>
    </row>
    <row r="110" spans="4:6" x14ac:dyDescent="0.3">
      <c r="D110"/>
      <c r="F110"/>
    </row>
    <row r="111" spans="4:6" x14ac:dyDescent="0.3">
      <c r="D111"/>
      <c r="F111"/>
    </row>
    <row r="112" spans="4:6" x14ac:dyDescent="0.3">
      <c r="D112"/>
      <c r="F112"/>
    </row>
    <row r="113" spans="4:6" x14ac:dyDescent="0.3">
      <c r="D113"/>
      <c r="F113"/>
    </row>
    <row r="114" spans="4:6" x14ac:dyDescent="0.3">
      <c r="D114"/>
      <c r="F114"/>
    </row>
    <row r="115" spans="4:6" x14ac:dyDescent="0.3">
      <c r="D115"/>
      <c r="F115"/>
    </row>
    <row r="116" spans="4:6" x14ac:dyDescent="0.3">
      <c r="D116"/>
      <c r="F116"/>
    </row>
    <row r="117" spans="4:6" x14ac:dyDescent="0.3">
      <c r="D117"/>
      <c r="F117"/>
    </row>
    <row r="118" spans="4:6" x14ac:dyDescent="0.3">
      <c r="D118"/>
      <c r="F118"/>
    </row>
    <row r="119" spans="4:6" x14ac:dyDescent="0.3">
      <c r="D119"/>
      <c r="F119"/>
    </row>
    <row r="120" spans="4:6" x14ac:dyDescent="0.3">
      <c r="D120"/>
      <c r="F120"/>
    </row>
    <row r="121" spans="4:6" x14ac:dyDescent="0.3">
      <c r="D121"/>
      <c r="F121"/>
    </row>
    <row r="122" spans="4:6" x14ac:dyDescent="0.3">
      <c r="D122"/>
      <c r="F122"/>
    </row>
    <row r="123" spans="4:6" x14ac:dyDescent="0.3">
      <c r="D123"/>
      <c r="F123"/>
    </row>
    <row r="124" spans="4:6" x14ac:dyDescent="0.3">
      <c r="D124"/>
      <c r="F124"/>
    </row>
    <row r="125" spans="4:6" x14ac:dyDescent="0.3">
      <c r="D125"/>
      <c r="F125"/>
    </row>
    <row r="126" spans="4:6" x14ac:dyDescent="0.3">
      <c r="D126"/>
      <c r="F126"/>
    </row>
    <row r="127" spans="4:6" x14ac:dyDescent="0.3">
      <c r="D127"/>
      <c r="F127"/>
    </row>
    <row r="128" spans="4:6" x14ac:dyDescent="0.3">
      <c r="D128"/>
      <c r="F128"/>
    </row>
    <row r="129" spans="4:6" x14ac:dyDescent="0.3">
      <c r="D129"/>
      <c r="F129"/>
    </row>
    <row r="130" spans="4:6" x14ac:dyDescent="0.3">
      <c r="D130"/>
      <c r="F130"/>
    </row>
    <row r="131" spans="4:6" x14ac:dyDescent="0.3">
      <c r="D131"/>
      <c r="F131"/>
    </row>
    <row r="132" spans="4:6" x14ac:dyDescent="0.3">
      <c r="D132"/>
      <c r="F132"/>
    </row>
    <row r="133" spans="4:6" x14ac:dyDescent="0.3">
      <c r="D133"/>
      <c r="F133"/>
    </row>
    <row r="134" spans="4:6" x14ac:dyDescent="0.3">
      <c r="D134"/>
      <c r="F134"/>
    </row>
    <row r="135" spans="4:6" x14ac:dyDescent="0.3">
      <c r="D135"/>
      <c r="F135"/>
    </row>
    <row r="136" spans="4:6" x14ac:dyDescent="0.3">
      <c r="D136"/>
      <c r="F136"/>
    </row>
    <row r="137" spans="4:6" x14ac:dyDescent="0.3">
      <c r="D137"/>
      <c r="F137"/>
    </row>
    <row r="138" spans="4:6" x14ac:dyDescent="0.3">
      <c r="D138"/>
      <c r="F138"/>
    </row>
    <row r="139" spans="4:6" x14ac:dyDescent="0.3">
      <c r="D139"/>
      <c r="F139"/>
    </row>
    <row r="140" spans="4:6" x14ac:dyDescent="0.3">
      <c r="D140"/>
      <c r="F140"/>
    </row>
    <row r="141" spans="4:6" x14ac:dyDescent="0.3">
      <c r="D141"/>
      <c r="F141"/>
    </row>
    <row r="142" spans="4:6" x14ac:dyDescent="0.3">
      <c r="D142"/>
      <c r="F142"/>
    </row>
    <row r="143" spans="4:6" x14ac:dyDescent="0.3">
      <c r="D143"/>
      <c r="F143"/>
    </row>
    <row r="144" spans="4:6" x14ac:dyDescent="0.3">
      <c r="D144"/>
      <c r="F144"/>
    </row>
    <row r="145" spans="4:6" x14ac:dyDescent="0.3">
      <c r="D145"/>
      <c r="F145"/>
    </row>
    <row r="146" spans="4:6" x14ac:dyDescent="0.3">
      <c r="D146"/>
      <c r="F146"/>
    </row>
    <row r="147" spans="4:6" x14ac:dyDescent="0.3">
      <c r="D147"/>
      <c r="F147"/>
    </row>
    <row r="148" spans="4:6" x14ac:dyDescent="0.3">
      <c r="D148"/>
      <c r="F148"/>
    </row>
    <row r="149" spans="4:6" x14ac:dyDescent="0.3">
      <c r="D149"/>
      <c r="F149"/>
    </row>
    <row r="150" spans="4:6" x14ac:dyDescent="0.3">
      <c r="D150"/>
      <c r="F150"/>
    </row>
    <row r="151" spans="4:6" x14ac:dyDescent="0.3">
      <c r="D151"/>
      <c r="F151"/>
    </row>
    <row r="152" spans="4:6" x14ac:dyDescent="0.3">
      <c r="D152"/>
      <c r="F152"/>
    </row>
    <row r="153" spans="4:6" x14ac:dyDescent="0.3">
      <c r="D153"/>
      <c r="F153"/>
    </row>
    <row r="154" spans="4:6" x14ac:dyDescent="0.3">
      <c r="D154"/>
      <c r="F154"/>
    </row>
    <row r="155" spans="4:6" x14ac:dyDescent="0.3">
      <c r="D155"/>
      <c r="F155"/>
    </row>
    <row r="156" spans="4:6" x14ac:dyDescent="0.3">
      <c r="D156"/>
      <c r="F156"/>
    </row>
    <row r="157" spans="4:6" x14ac:dyDescent="0.3">
      <c r="D157"/>
      <c r="F157"/>
    </row>
    <row r="158" spans="4:6" x14ac:dyDescent="0.3">
      <c r="D158"/>
      <c r="F158"/>
    </row>
    <row r="159" spans="4:6" x14ac:dyDescent="0.3">
      <c r="D159"/>
      <c r="F159"/>
    </row>
    <row r="160" spans="4:6" x14ac:dyDescent="0.3">
      <c r="D160"/>
      <c r="F160"/>
    </row>
    <row r="161" spans="4:6" x14ac:dyDescent="0.3">
      <c r="D161"/>
      <c r="F161"/>
    </row>
    <row r="162" spans="4:6" x14ac:dyDescent="0.3">
      <c r="D162"/>
      <c r="F162"/>
    </row>
    <row r="163" spans="4:6" x14ac:dyDescent="0.3">
      <c r="D163"/>
      <c r="F163"/>
    </row>
    <row r="164" spans="4:6" x14ac:dyDescent="0.3">
      <c r="D164"/>
      <c r="F164"/>
    </row>
    <row r="165" spans="4:6" x14ac:dyDescent="0.3">
      <c r="D165"/>
      <c r="F165"/>
    </row>
    <row r="166" spans="4:6" x14ac:dyDescent="0.3">
      <c r="D166"/>
      <c r="F166"/>
    </row>
    <row r="167" spans="4:6" x14ac:dyDescent="0.3">
      <c r="D167"/>
      <c r="F167"/>
    </row>
    <row r="168" spans="4:6" x14ac:dyDescent="0.3">
      <c r="D168"/>
      <c r="F168"/>
    </row>
    <row r="169" spans="4:6" x14ac:dyDescent="0.3">
      <c r="D169"/>
      <c r="F169"/>
    </row>
    <row r="170" spans="4:6" x14ac:dyDescent="0.3">
      <c r="D170"/>
      <c r="F170"/>
    </row>
    <row r="171" spans="4:6" x14ac:dyDescent="0.3">
      <c r="D171"/>
      <c r="F171"/>
    </row>
    <row r="172" spans="4:6" x14ac:dyDescent="0.3">
      <c r="D172"/>
      <c r="F172"/>
    </row>
    <row r="173" spans="4:6" x14ac:dyDescent="0.3">
      <c r="D173"/>
      <c r="F173"/>
    </row>
    <row r="174" spans="4:6" x14ac:dyDescent="0.3">
      <c r="D174"/>
      <c r="F174"/>
    </row>
    <row r="175" spans="4:6" x14ac:dyDescent="0.3">
      <c r="D175"/>
      <c r="F175"/>
    </row>
    <row r="176" spans="4:6" x14ac:dyDescent="0.3">
      <c r="D176"/>
      <c r="F176"/>
    </row>
    <row r="177" spans="4:6" x14ac:dyDescent="0.3">
      <c r="D177"/>
      <c r="F177"/>
    </row>
    <row r="178" spans="4:6" x14ac:dyDescent="0.3">
      <c r="D178"/>
      <c r="F178"/>
    </row>
    <row r="179" spans="4:6" x14ac:dyDescent="0.3">
      <c r="D179"/>
      <c r="F179"/>
    </row>
    <row r="180" spans="4:6" x14ac:dyDescent="0.3">
      <c r="D180"/>
      <c r="F180"/>
    </row>
    <row r="181" spans="4:6" x14ac:dyDescent="0.3">
      <c r="D181"/>
      <c r="F18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3139-290D-4FC0-97BD-5A13B9DC66A1}">
  <sheetPr>
    <tabColor theme="6"/>
  </sheetPr>
  <dimension ref="A1:J32"/>
  <sheetViews>
    <sheetView workbookViewId="0">
      <selection activeCell="H19" sqref="H19"/>
    </sheetView>
  </sheetViews>
  <sheetFormatPr defaultRowHeight="14.4" x14ac:dyDescent="0.3"/>
  <cols>
    <col min="1" max="1" width="22.5546875" bestFit="1" customWidth="1"/>
    <col min="2" max="2" width="18.21875" customWidth="1"/>
    <col min="3" max="3" width="22.33203125" bestFit="1" customWidth="1"/>
    <col min="4" max="4" width="16.88671875" bestFit="1" customWidth="1"/>
    <col min="6" max="6" width="22.33203125" bestFit="1" customWidth="1"/>
    <col min="7" max="7" width="17.77734375" bestFit="1" customWidth="1"/>
    <col min="8" max="8" width="20.77734375" bestFit="1" customWidth="1"/>
    <col min="9" max="9" width="18" bestFit="1" customWidth="1"/>
    <col min="10" max="10" width="11" bestFit="1" customWidth="1"/>
  </cols>
  <sheetData>
    <row r="1" spans="1:10" x14ac:dyDescent="0.3">
      <c r="A1" s="30" t="s">
        <v>400</v>
      </c>
      <c r="B1" t="s">
        <v>402</v>
      </c>
      <c r="C1" t="s">
        <v>405</v>
      </c>
      <c r="D1" t="s">
        <v>403</v>
      </c>
    </row>
    <row r="2" spans="1:10" x14ac:dyDescent="0.3">
      <c r="A2" s="31" t="s">
        <v>28</v>
      </c>
      <c r="B2" s="12">
        <v>2535434.6300000008</v>
      </c>
      <c r="C2" s="12">
        <v>-83265.369999999981</v>
      </c>
      <c r="D2" s="33">
        <v>6.0948717948717937E-2</v>
      </c>
    </row>
    <row r="3" spans="1:10" x14ac:dyDescent="0.3">
      <c r="A3" s="32" t="s">
        <v>20</v>
      </c>
      <c r="B3" s="12">
        <v>573480.21</v>
      </c>
      <c r="C3" s="12">
        <v>-38519.790000000023</v>
      </c>
      <c r="D3" s="33">
        <v>4.4444444444444453E-2</v>
      </c>
    </row>
    <row r="4" spans="1:10" x14ac:dyDescent="0.3">
      <c r="A4" s="32" t="s">
        <v>89</v>
      </c>
      <c r="B4" s="12">
        <v>321990.80000000005</v>
      </c>
      <c r="C4" s="12">
        <v>7490.8000000000047</v>
      </c>
      <c r="D4" s="33">
        <v>5.616666666666667E-2</v>
      </c>
      <c r="F4" s="30" t="s">
        <v>407</v>
      </c>
      <c r="G4" s="30" t="s">
        <v>406</v>
      </c>
    </row>
    <row r="5" spans="1:10" x14ac:dyDescent="0.3">
      <c r="A5" s="32" t="s">
        <v>42</v>
      </c>
      <c r="B5" s="12">
        <v>176083.28</v>
      </c>
      <c r="C5" s="12">
        <v>-18916.720000000008</v>
      </c>
      <c r="D5" s="33">
        <v>8.357142857142856E-2</v>
      </c>
      <c r="F5" s="30" t="s">
        <v>400</v>
      </c>
      <c r="G5" t="s">
        <v>28</v>
      </c>
      <c r="H5" t="s">
        <v>13</v>
      </c>
      <c r="I5" t="s">
        <v>38</v>
      </c>
      <c r="J5" t="s">
        <v>401</v>
      </c>
    </row>
    <row r="6" spans="1:10" x14ac:dyDescent="0.3">
      <c r="A6" s="32" t="s">
        <v>34</v>
      </c>
      <c r="B6" s="12">
        <v>423227.86000000004</v>
      </c>
      <c r="C6" s="12">
        <v>-17772.140000000003</v>
      </c>
      <c r="D6" s="33">
        <v>0.03</v>
      </c>
      <c r="F6" s="31" t="s">
        <v>25</v>
      </c>
      <c r="G6" s="33">
        <v>0.17900552486187846</v>
      </c>
      <c r="H6" s="33">
        <v>0.18497109826589594</v>
      </c>
      <c r="I6" s="33">
        <v>0.21618357487922704</v>
      </c>
      <c r="J6" s="33">
        <v>0.1934020618556701</v>
      </c>
    </row>
    <row r="7" spans="1:10" x14ac:dyDescent="0.3">
      <c r="A7" s="32" t="s">
        <v>29</v>
      </c>
      <c r="B7" s="12">
        <v>67469.989999999991</v>
      </c>
      <c r="C7" s="12">
        <v>-7280.01</v>
      </c>
      <c r="D7" s="33">
        <v>8.2666666666666666E-2</v>
      </c>
      <c r="F7" s="31" t="s">
        <v>55</v>
      </c>
      <c r="G7" s="33">
        <v>0.19668508287292819</v>
      </c>
      <c r="H7" s="33">
        <v>0.36705202312138729</v>
      </c>
      <c r="I7" s="33">
        <v>0.21135265700483091</v>
      </c>
      <c r="J7" s="33">
        <v>0.25030927835051547</v>
      </c>
    </row>
    <row r="8" spans="1:10" x14ac:dyDescent="0.3">
      <c r="A8" s="32" t="s">
        <v>58</v>
      </c>
      <c r="B8" s="12">
        <v>656127.41999999993</v>
      </c>
      <c r="C8" s="12">
        <v>-6872.5800000000017</v>
      </c>
      <c r="D8" s="33">
        <v>6.99047619047619E-2</v>
      </c>
      <c r="F8" s="31" t="s">
        <v>395</v>
      </c>
      <c r="G8" s="33">
        <v>6.4088397790055249E-2</v>
      </c>
      <c r="H8" s="33">
        <v>4.046242774566474E-2</v>
      </c>
      <c r="I8" s="33">
        <v>0</v>
      </c>
      <c r="J8" s="33">
        <v>3.5463917525773193E-2</v>
      </c>
    </row>
    <row r="9" spans="1:10" x14ac:dyDescent="0.3">
      <c r="A9" s="32" t="s">
        <v>14</v>
      </c>
      <c r="B9" s="12">
        <v>93614.61</v>
      </c>
      <c r="C9" s="12">
        <v>-5385.3899999999967</v>
      </c>
      <c r="D9" s="33">
        <v>6.6666666666666666E-2</v>
      </c>
      <c r="F9" s="31" t="s">
        <v>39</v>
      </c>
      <c r="G9" s="33">
        <v>0.14696132596685083</v>
      </c>
      <c r="H9" s="33">
        <v>0.18497109826589594</v>
      </c>
      <c r="I9" s="33">
        <v>0.30555555555555558</v>
      </c>
      <c r="J9" s="33">
        <v>0.21195876288659793</v>
      </c>
    </row>
    <row r="10" spans="1:10" x14ac:dyDescent="0.3">
      <c r="A10" s="32" t="s">
        <v>116</v>
      </c>
      <c r="B10" s="12">
        <v>62476.219999999994</v>
      </c>
      <c r="C10" s="12">
        <v>-4723.7799999999988</v>
      </c>
      <c r="D10" s="33">
        <v>5.8476190476190466E-2</v>
      </c>
      <c r="F10" s="31" t="s">
        <v>16</v>
      </c>
      <c r="G10" s="33">
        <v>0.29392265193370165</v>
      </c>
      <c r="H10" s="33">
        <v>0.16473988439306358</v>
      </c>
      <c r="I10" s="33">
        <v>5.5555555555555552E-2</v>
      </c>
      <c r="J10" s="33">
        <v>0.1756701030927835</v>
      </c>
    </row>
    <row r="11" spans="1:10" x14ac:dyDescent="0.3">
      <c r="A11" s="32" t="s">
        <v>46</v>
      </c>
      <c r="B11" s="12">
        <v>160964.24000000002</v>
      </c>
      <c r="C11" s="12">
        <v>8714.24</v>
      </c>
      <c r="D11" s="33">
        <v>5.579487179487181E-2</v>
      </c>
      <c r="F11" s="31" t="s">
        <v>22</v>
      </c>
      <c r="G11" s="33">
        <v>0.11933701657458563</v>
      </c>
      <c r="H11" s="33">
        <v>5.7803468208092484E-2</v>
      </c>
      <c r="I11" s="33">
        <v>0.21135265700483091</v>
      </c>
      <c r="J11" s="33">
        <v>0.13319587628865978</v>
      </c>
    </row>
    <row r="12" spans="1:10" x14ac:dyDescent="0.3">
      <c r="A12" s="31" t="s">
        <v>13</v>
      </c>
      <c r="B12" s="12">
        <v>2122124.7800000003</v>
      </c>
      <c r="C12" s="12">
        <v>-88175.219999999958</v>
      </c>
      <c r="D12" s="33">
        <v>5.9185792349726783E-2</v>
      </c>
      <c r="F12" s="31" t="s">
        <v>401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">
      <c r="A13" s="32" t="s">
        <v>20</v>
      </c>
      <c r="B13" s="12">
        <v>186735.86</v>
      </c>
      <c r="C13" s="12">
        <v>-17264.139999999996</v>
      </c>
      <c r="D13" s="33">
        <v>5.7291666666666664E-2</v>
      </c>
    </row>
    <row r="14" spans="1:10" x14ac:dyDescent="0.3">
      <c r="A14" s="32" t="s">
        <v>89</v>
      </c>
      <c r="B14" s="12">
        <v>343452.75</v>
      </c>
      <c r="C14" s="12">
        <v>11952.750000000024</v>
      </c>
      <c r="D14" s="33">
        <v>2.9037037037037042E-2</v>
      </c>
    </row>
    <row r="15" spans="1:10" x14ac:dyDescent="0.3">
      <c r="A15" s="32" t="s">
        <v>42</v>
      </c>
      <c r="B15" s="12">
        <v>142155.08000000002</v>
      </c>
      <c r="C15" s="12">
        <v>-7844.919999999991</v>
      </c>
      <c r="D15" s="33">
        <v>1.8333333333333333E-2</v>
      </c>
    </row>
    <row r="16" spans="1:10" x14ac:dyDescent="0.3">
      <c r="A16" s="32" t="s">
        <v>34</v>
      </c>
      <c r="B16" s="12">
        <v>707881.78</v>
      </c>
      <c r="C16" s="12">
        <v>-48118.219999999987</v>
      </c>
      <c r="D16" s="33">
        <v>5.3000000000000005E-2</v>
      </c>
    </row>
    <row r="17" spans="1:4" x14ac:dyDescent="0.3">
      <c r="A17" s="32" t="s">
        <v>29</v>
      </c>
      <c r="B17" s="12">
        <v>39124.43</v>
      </c>
      <c r="C17" s="12">
        <v>-3125.5700000000024</v>
      </c>
      <c r="D17" s="33">
        <v>4.7750000000000001E-2</v>
      </c>
    </row>
    <row r="18" spans="1:4" x14ac:dyDescent="0.3">
      <c r="A18" s="32" t="s">
        <v>58</v>
      </c>
      <c r="B18" s="12">
        <v>517273.47000000003</v>
      </c>
      <c r="C18" s="12">
        <v>-9726.5299999999916</v>
      </c>
      <c r="D18" s="33">
        <v>7.571428571428572E-2</v>
      </c>
    </row>
    <row r="19" spans="1:4" x14ac:dyDescent="0.3">
      <c r="A19" s="32" t="s">
        <v>14</v>
      </c>
      <c r="B19" s="12">
        <v>140996.51999999999</v>
      </c>
      <c r="C19" s="12">
        <v>-12003.479999999996</v>
      </c>
      <c r="D19" s="33">
        <v>7.3636363636363639E-2</v>
      </c>
    </row>
    <row r="20" spans="1:4" x14ac:dyDescent="0.3">
      <c r="A20" s="32" t="s">
        <v>116</v>
      </c>
      <c r="B20" s="12">
        <v>15055.04</v>
      </c>
      <c r="C20" s="12">
        <v>-1744.96</v>
      </c>
      <c r="D20" s="33">
        <v>8.6166666666666669E-2</v>
      </c>
    </row>
    <row r="21" spans="1:4" x14ac:dyDescent="0.3">
      <c r="A21" s="32" t="s">
        <v>46</v>
      </c>
      <c r="B21" s="12">
        <v>29449.850000000002</v>
      </c>
      <c r="C21" s="12">
        <v>-300.15000000000055</v>
      </c>
      <c r="D21" s="33">
        <v>8.5999999999999993E-2</v>
      </c>
    </row>
    <row r="22" spans="1:4" x14ac:dyDescent="0.3">
      <c r="A22" s="31" t="s">
        <v>38</v>
      </c>
      <c r="B22" s="12">
        <v>2508331.7400000016</v>
      </c>
      <c r="C22" s="12">
        <v>-69018.25999999998</v>
      </c>
      <c r="D22" s="33">
        <v>6.419135802469135E-2</v>
      </c>
    </row>
    <row r="23" spans="1:4" x14ac:dyDescent="0.3">
      <c r="A23" s="32" t="s">
        <v>20</v>
      </c>
      <c r="B23" s="12">
        <v>349942.7</v>
      </c>
      <c r="C23" s="12">
        <v>-28057.299999999981</v>
      </c>
      <c r="D23" s="33">
        <v>5.053333333333334E-2</v>
      </c>
    </row>
    <row r="24" spans="1:4" x14ac:dyDescent="0.3">
      <c r="A24" s="32" t="s">
        <v>89</v>
      </c>
      <c r="B24" s="12">
        <v>174471.55000000002</v>
      </c>
      <c r="C24" s="12">
        <v>-4028.4499999999916</v>
      </c>
      <c r="D24" s="33">
        <v>9.027777777777779E-2</v>
      </c>
    </row>
    <row r="25" spans="1:4" x14ac:dyDescent="0.3">
      <c r="A25" s="32" t="s">
        <v>42</v>
      </c>
      <c r="B25" s="12">
        <v>357303.47</v>
      </c>
      <c r="C25" s="12">
        <v>-17696.529999999992</v>
      </c>
      <c r="D25" s="33">
        <v>7.3400000000000007E-2</v>
      </c>
    </row>
    <row r="26" spans="1:4" x14ac:dyDescent="0.3">
      <c r="A26" s="32" t="s">
        <v>34</v>
      </c>
      <c r="B26" s="12">
        <v>343408.75</v>
      </c>
      <c r="C26" s="12">
        <v>-24091.250000000011</v>
      </c>
      <c r="D26" s="33">
        <v>8.0666666666666678E-2</v>
      </c>
    </row>
    <row r="27" spans="1:4" x14ac:dyDescent="0.3">
      <c r="A27" s="32" t="s">
        <v>29</v>
      </c>
      <c r="B27" s="12">
        <v>113535.58</v>
      </c>
      <c r="C27" s="12">
        <v>-9964.4199999999983</v>
      </c>
      <c r="D27" s="33">
        <v>4.3714285714285706E-2</v>
      </c>
    </row>
    <row r="28" spans="1:4" x14ac:dyDescent="0.3">
      <c r="A28" s="32" t="s">
        <v>58</v>
      </c>
      <c r="B28" s="12">
        <v>950524.32</v>
      </c>
      <c r="C28" s="12">
        <v>15524.319999999985</v>
      </c>
      <c r="D28" s="33">
        <v>4.2666666666666672E-2</v>
      </c>
    </row>
    <row r="29" spans="1:4" x14ac:dyDescent="0.3">
      <c r="A29" s="32" t="s">
        <v>14</v>
      </c>
      <c r="B29" s="12">
        <v>86188.950000000012</v>
      </c>
      <c r="C29" s="12">
        <v>-3811.050000000002</v>
      </c>
      <c r="D29" s="33">
        <v>4.6444444444444448E-2</v>
      </c>
    </row>
    <row r="30" spans="1:4" x14ac:dyDescent="0.3">
      <c r="A30" s="32" t="s">
        <v>116</v>
      </c>
      <c r="B30" s="12">
        <v>46204.3</v>
      </c>
      <c r="C30" s="12">
        <v>-1395.6999999999998</v>
      </c>
      <c r="D30" s="33">
        <v>8.7499999999999994E-2</v>
      </c>
    </row>
    <row r="31" spans="1:4" x14ac:dyDescent="0.3">
      <c r="A31" s="32" t="s">
        <v>46</v>
      </c>
      <c r="B31" s="12">
        <v>86752.119999999981</v>
      </c>
      <c r="C31" s="12">
        <v>4502.1200000000035</v>
      </c>
      <c r="D31" s="33">
        <v>7.7857142857142861E-2</v>
      </c>
    </row>
    <row r="32" spans="1:4" x14ac:dyDescent="0.3">
      <c r="A32" s="31" t="s">
        <v>401</v>
      </c>
      <c r="B32" s="12">
        <v>7165891.1500000004</v>
      </c>
      <c r="C32" s="12">
        <v>-240458.84999999983</v>
      </c>
      <c r="D32" s="33">
        <v>6.1324074074074066E-2</v>
      </c>
    </row>
  </sheetData>
  <conditionalFormatting pivot="1" sqref="C2:C3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G6:G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6:H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6:I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J6:J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83E5-DCB2-49E1-A43A-3E7B3AC5A4FB}">
  <sheetPr>
    <tabColor theme="6"/>
  </sheetPr>
  <dimension ref="A4:J30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20.77734375" bestFit="1" customWidth="1"/>
    <col min="2" max="2" width="43.5546875" bestFit="1" customWidth="1"/>
    <col min="3" max="3" width="44.5546875" bestFit="1" customWidth="1"/>
    <col min="15" max="15" width="20.77734375" bestFit="1" customWidth="1"/>
    <col min="16" max="16" width="43.5546875" bestFit="1" customWidth="1"/>
  </cols>
  <sheetData>
    <row r="4" spans="1:10" x14ac:dyDescent="0.3">
      <c r="A4" s="30" t="s">
        <v>400</v>
      </c>
      <c r="B4" t="s">
        <v>404</v>
      </c>
      <c r="C4" t="s">
        <v>408</v>
      </c>
    </row>
    <row r="5" spans="1:10" x14ac:dyDescent="0.3">
      <c r="A5" s="31" t="s">
        <v>28</v>
      </c>
      <c r="B5" s="33">
        <v>0.34627700332094263</v>
      </c>
      <c r="C5" s="12">
        <v>-83265.370000000024</v>
      </c>
      <c r="I5" s="30" t="s">
        <v>400</v>
      </c>
      <c r="J5" t="s">
        <v>404</v>
      </c>
    </row>
    <row r="6" spans="1:10" x14ac:dyDescent="0.3">
      <c r="A6" s="31" t="s">
        <v>13</v>
      </c>
      <c r="B6" s="33">
        <v>0.36669567370882783</v>
      </c>
      <c r="C6" s="12">
        <v>-88175.219999999958</v>
      </c>
      <c r="I6" s="31" t="s">
        <v>28</v>
      </c>
      <c r="J6" s="33">
        <v>0.34627700332094263</v>
      </c>
    </row>
    <row r="7" spans="1:10" x14ac:dyDescent="0.3">
      <c r="A7" s="31" t="s">
        <v>38</v>
      </c>
      <c r="B7" s="33">
        <v>0.28702732297022959</v>
      </c>
      <c r="C7" s="12">
        <v>-69018.25999999998</v>
      </c>
      <c r="I7" s="31" t="s">
        <v>13</v>
      </c>
      <c r="J7" s="33">
        <v>0.36669567370882783</v>
      </c>
    </row>
    <row r="8" spans="1:10" x14ac:dyDescent="0.3">
      <c r="A8" s="31" t="s">
        <v>401</v>
      </c>
      <c r="B8" s="33">
        <v>1</v>
      </c>
      <c r="C8" s="12">
        <v>-240458.84999999995</v>
      </c>
      <c r="I8" s="31" t="s">
        <v>38</v>
      </c>
      <c r="J8" s="33">
        <v>0.28702732297022959</v>
      </c>
    </row>
    <row r="9" spans="1:10" x14ac:dyDescent="0.3">
      <c r="I9" s="31" t="s">
        <v>401</v>
      </c>
      <c r="J9" s="33">
        <v>1</v>
      </c>
    </row>
    <row r="23" spans="1:2" x14ac:dyDescent="0.3">
      <c r="A23" s="30" t="s">
        <v>400</v>
      </c>
      <c r="B23" t="s">
        <v>407</v>
      </c>
    </row>
    <row r="24" spans="1:2" x14ac:dyDescent="0.3">
      <c r="A24" s="31" t="s">
        <v>25</v>
      </c>
      <c r="B24" s="11">
        <v>469</v>
      </c>
    </row>
    <row r="25" spans="1:2" x14ac:dyDescent="0.3">
      <c r="A25" s="31" t="s">
        <v>55</v>
      </c>
      <c r="B25" s="11">
        <v>607</v>
      </c>
    </row>
    <row r="26" spans="1:2" x14ac:dyDescent="0.3">
      <c r="A26" s="31" t="s">
        <v>395</v>
      </c>
      <c r="B26" s="11">
        <v>86</v>
      </c>
    </row>
    <row r="27" spans="1:2" x14ac:dyDescent="0.3">
      <c r="A27" s="31" t="s">
        <v>39</v>
      </c>
      <c r="B27" s="11">
        <v>514</v>
      </c>
    </row>
    <row r="28" spans="1:2" x14ac:dyDescent="0.3">
      <c r="A28" s="31" t="s">
        <v>16</v>
      </c>
      <c r="B28" s="11">
        <v>426</v>
      </c>
    </row>
    <row r="29" spans="1:2" x14ac:dyDescent="0.3">
      <c r="A29" s="31" t="s">
        <v>22</v>
      </c>
      <c r="B29" s="11">
        <v>323</v>
      </c>
    </row>
    <row r="30" spans="1:2" x14ac:dyDescent="0.3">
      <c r="A30" s="31" t="s">
        <v>401</v>
      </c>
      <c r="B30" s="11">
        <v>2425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RAW_Dump_Produzione</vt:lpstr>
      <vt:lpstr>CLEAN_Dump_Produzione</vt:lpstr>
      <vt:lpstr>ID_ARTICOLI</vt:lpstr>
      <vt:lpstr>PIVOT</vt:lpstr>
      <vt:lpstr>CHARTS</vt:lpstr>
      <vt:lpstr>ID_ARTICOLI</vt:lpstr>
      <vt:lpstr>TOT_PRODUZIONE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Valenti</cp:lastModifiedBy>
  <dcterms:created xsi:type="dcterms:W3CDTF">2026-10-27T18:16:46Z</dcterms:created>
  <dcterms:modified xsi:type="dcterms:W3CDTF">2026-10-28T14:51:38Z</dcterms:modified>
</cp:coreProperties>
</file>